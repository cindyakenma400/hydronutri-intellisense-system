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articipant Responses" sheetId="2" state="visible" r:id="rId2"/>
    <sheet name="Team Responses" sheetId="3" state="visible" r:id="rId3"/>
    <sheet name="Participant Analysis" sheetId="4" state="visible" r:id="rId4"/>
    <sheet name="Team Analysis" sheetId="5" state="visible" r:id="rId5"/>
  </sheets>
  <definedNames>
    <definedName name="_xlnm._FilterDatabase" localSheetId="1" hidden="1">'Participant Responses'!$A$2:$I$17</definedName>
    <definedName name="_xlnm._FilterDatabase" localSheetId="2" hidden="1">'Team Responses'!$A$2:$S$7</definedName>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Calibri"/>
      <b val="1"/>
      <color rgb="00FFFFFF"/>
      <sz val="14"/>
    </font>
    <font>
      <name val="Calibri"/>
      <b val="1"/>
      <color rgb="00FFFFFF"/>
      <sz val="10"/>
    </font>
    <font>
      <name val="Calibri"/>
      <color rgb="00333333"/>
      <sz val="10"/>
    </font>
    <font>
      <name val="Calibri"/>
      <b val="1"/>
      <color rgb="00FFFFFF"/>
      <sz val="16"/>
    </font>
    <font>
      <name val="Calibri"/>
      <b val="1"/>
      <color rgb="001C3144"/>
      <sz val="13"/>
    </font>
    <font>
      <name val="Calibri"/>
      <b val="1"/>
      <color rgb="00333333"/>
      <sz val="10"/>
    </font>
    <font>
      <name val="Calibri"/>
      <b val="1"/>
      <color rgb="001C3144"/>
      <sz val="12"/>
    </font>
    <font>
      <name val="Calibri"/>
      <b val="1"/>
      <color rgb="002A9D8F"/>
      <sz val="10"/>
    </font>
    <font>
      <name val="Calibri"/>
      <b val="1"/>
      <color rgb="001C3144"/>
      <sz val="10"/>
    </font>
    <font>
      <name val="Calibri"/>
      <color rgb="00555555"/>
      <sz val="9"/>
    </font>
    <font>
      <name val="Calibri"/>
      <i val="1"/>
      <color rgb="00555555"/>
      <sz val="9"/>
    </font>
    <font>
      <name val="Calibri"/>
      <b val="1"/>
      <color rgb="001C3144"/>
      <sz val="14"/>
    </font>
    <font>
      <name val="Calibri"/>
      <b val="1"/>
      <color rgb="002A9D8F"/>
      <sz val="14"/>
    </font>
    <font>
      <name val="Calibri"/>
      <b val="1"/>
      <color rgb="00C1666B"/>
      <sz val="10"/>
    </font>
    <font>
      <name val="Calibri"/>
      <b val="1"/>
      <color rgb="00E9A820"/>
      <sz val="10"/>
    </font>
    <font>
      <name val="Calibri"/>
      <b val="1"/>
      <color rgb="00FFFFFF"/>
      <sz val="11"/>
    </font>
    <font>
      <name val="Calibri"/>
      <b val="1"/>
      <color rgb="00FFFFFF"/>
      <sz val="18"/>
    </font>
    <font>
      <name val="Calibri"/>
      <color rgb="00B8C4CE"/>
      <sz val="11"/>
    </font>
    <font>
      <name val="Calibri"/>
      <color rgb="006B7B8D"/>
      <sz val="9"/>
    </font>
    <font>
      <name val="Calibri"/>
      <b val="1"/>
      <color rgb="001C3144"/>
      <sz val="20"/>
    </font>
    <font>
      <name val="Calibri"/>
      <color rgb="006B7B8D"/>
      <sz val="8"/>
    </font>
  </fonts>
  <fills count="16">
    <fill>
      <patternFill/>
    </fill>
    <fill>
      <patternFill patternType="gray125"/>
    </fill>
    <fill>
      <patternFill patternType="solid">
        <fgColor rgb="002A9D8F"/>
        <bgColor rgb="002A9D8F"/>
      </patternFill>
    </fill>
    <fill>
      <patternFill patternType="solid">
        <fgColor rgb="0023877C"/>
        <bgColor rgb="0023877C"/>
      </patternFill>
    </fill>
    <fill>
      <patternFill patternType="solid">
        <fgColor rgb="00F0EDEA"/>
        <bgColor rgb="00F0EDEA"/>
      </patternFill>
    </fill>
    <fill>
      <patternFill patternType="solid">
        <fgColor rgb="00E9A820"/>
        <bgColor rgb="00E9A820"/>
      </patternFill>
    </fill>
    <fill>
      <patternFill patternType="solid">
        <fgColor rgb="00C98B1A"/>
        <bgColor rgb="00C98B1A"/>
      </patternFill>
    </fill>
    <fill>
      <patternFill patternType="solid">
        <fgColor rgb="00E8EDF2"/>
        <bgColor rgb="00E8EDF2"/>
      </patternFill>
    </fill>
    <fill>
      <patternFill patternType="solid">
        <fgColor rgb="00FFFFFF"/>
        <bgColor rgb="00FFFFFF"/>
      </patternFill>
    </fill>
    <fill>
      <patternFill patternType="solid">
        <fgColor rgb="00F5F3F0"/>
        <bgColor rgb="00F5F3F0"/>
      </patternFill>
    </fill>
    <fill>
      <patternFill patternType="solid">
        <fgColor rgb="001C3144"/>
        <bgColor rgb="001C3144"/>
      </patternFill>
    </fill>
    <fill>
      <patternFill patternType="solid">
        <fgColor rgb="00F5E4E5"/>
        <bgColor rgb="00F5E4E5"/>
      </patternFill>
    </fill>
    <fill>
      <patternFill patternType="solid">
        <fgColor rgb="00FDF3DC"/>
        <bgColor rgb="00FDF3DC"/>
      </patternFill>
    </fill>
    <fill>
      <patternFill patternType="solid">
        <fgColor rgb="001BAF7A"/>
        <bgColor rgb="001BAF7A"/>
      </patternFill>
    </fill>
    <fill>
      <patternFill patternType="solid">
        <fgColor rgb="00EB6834"/>
        <bgColor rgb="00EB6834"/>
      </patternFill>
    </fill>
    <fill>
      <patternFill patternType="solid">
        <fgColor rgb="002A78D6"/>
        <bgColor rgb="002A78D6"/>
      </patternFill>
    </fill>
  </fills>
  <borders count="3">
    <border>
      <left/>
      <right/>
      <top/>
      <bottom/>
      <diagonal/>
    </border>
    <border>
      <left style="thin">
        <color rgb="00D9D5CF"/>
      </left>
      <right style="thin">
        <color rgb="00D9D5CF"/>
      </right>
      <top style="thin">
        <color rgb="00D9D5CF"/>
      </top>
      <bottom style="thin">
        <color rgb="00D9D5CF"/>
      </bottom>
    </border>
    <border>
      <bottom style="medium">
        <color rgb="001C3144"/>
      </bottom>
    </border>
  </borders>
  <cellStyleXfs count="1">
    <xf numFmtId="0" fontId="0" fillId="0" borderId="0"/>
  </cellStyleXfs>
  <cellXfs count="70">
    <xf numFmtId="0" fontId="0" fillId="0" borderId="0" pivotButton="0" quotePrefix="0" xfId="0"/>
    <xf numFmtId="0" fontId="17" fillId="10" borderId="0" applyAlignment="1" pivotButton="0" quotePrefix="0" xfId="0">
      <alignment vertical="center"/>
    </xf>
    <xf numFmtId="0" fontId="0" fillId="10" borderId="0" pivotButton="0" quotePrefix="0" xfId="0"/>
    <xf numFmtId="0" fontId="18" fillId="10" borderId="0" applyAlignment="1" pivotButton="0" quotePrefix="0" xfId="0">
      <alignment vertical="center"/>
    </xf>
    <xf numFmtId="0" fontId="19" fillId="9" borderId="1" applyAlignment="1" pivotButton="0" quotePrefix="0" xfId="0">
      <alignment horizontal="center" vertical="center"/>
    </xf>
    <xf numFmtId="0" fontId="0" fillId="9" borderId="1" pivotButton="0" quotePrefix="0" xfId="0"/>
    <xf numFmtId="0" fontId="20" fillId="9" borderId="1" applyAlignment="1" pivotButton="0" quotePrefix="0" xfId="0">
      <alignment horizontal="center" vertical="center"/>
    </xf>
    <xf numFmtId="0" fontId="21" fillId="9" borderId="1" applyAlignment="1" pivotButton="0" quotePrefix="0" xfId="0">
      <alignment horizontal="center" vertical="center"/>
    </xf>
    <xf numFmtId="0" fontId="5" fillId="7" borderId="2" applyAlignment="1" pivotButton="0" quotePrefix="0" xfId="0">
      <alignment vertical="center"/>
    </xf>
    <xf numFmtId="0" fontId="6" fillId="4" borderId="1" applyAlignment="1" pivotButton="0" quotePrefix="0" xfId="0">
      <alignment vertical="top" wrapText="1"/>
    </xf>
    <xf numFmtId="0" fontId="0" fillId="4" borderId="1" pivotButton="0" quotePrefix="0" xfId="0"/>
    <xf numFmtId="0" fontId="3" fillId="4" borderId="1" applyAlignment="1" pivotButton="0" quotePrefix="0" xfId="0">
      <alignment vertical="top" wrapText="1"/>
    </xf>
    <xf numFmtId="0" fontId="6" fillId="8" borderId="1" applyAlignment="1" pivotButton="0" quotePrefix="0" xfId="0">
      <alignment vertical="top" wrapText="1"/>
    </xf>
    <xf numFmtId="0" fontId="0" fillId="8" borderId="1" pivotButton="0" quotePrefix="0" xfId="0"/>
    <xf numFmtId="0" fontId="3" fillId="8" borderId="1" applyAlignment="1" pivotButton="0" quotePrefix="0" xfId="0">
      <alignment vertical="top" wrapText="1"/>
    </xf>
    <xf numFmtId="0" fontId="9" fillId="9" borderId="1" applyAlignment="1" pivotButton="0" quotePrefix="0" xfId="0">
      <alignment horizontal="center" vertical="center" wrapText="1"/>
    </xf>
    <xf numFmtId="0" fontId="14" fillId="4" borderId="1" applyAlignment="1" pivotButton="0" quotePrefix="0" xfId="0">
      <alignment horizontal="center" vertical="center" wrapText="1"/>
    </xf>
    <xf numFmtId="0" fontId="14" fillId="8" borderId="1" applyAlignment="1" pivotButton="0" quotePrefix="0" xfId="0">
      <alignment horizontal="center" vertical="center" wrapText="1"/>
    </xf>
    <xf numFmtId="0" fontId="15" fillId="8" borderId="1" applyAlignment="1" pivotButton="0" quotePrefix="0" xfId="0">
      <alignment horizontal="center" vertical="center" wrapText="1"/>
    </xf>
    <xf numFmtId="0" fontId="15"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8" borderId="1" applyAlignment="1" pivotButton="0" quotePrefix="0" xfId="0">
      <alignment horizontal="center" vertical="center" wrapText="1"/>
    </xf>
    <xf numFmtId="0" fontId="1" fillId="2" borderId="0" applyAlignment="1" pivotButton="0" quotePrefix="0" xfId="0">
      <alignment vertical="center"/>
    </xf>
    <xf numFmtId="0" fontId="0"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vertical="top" wrapText="1"/>
    </xf>
    <xf numFmtId="0" fontId="1" fillId="5" borderId="0" applyAlignment="1" pivotButton="0" quotePrefix="0" xfId="0">
      <alignment vertical="center"/>
    </xf>
    <xf numFmtId="0" fontId="0" fillId="5" borderId="0" pivotButton="0" quotePrefix="0" xfId="0"/>
    <xf numFmtId="0" fontId="2" fillId="6" borderId="1" applyAlignment="1" pivotButton="0" quotePrefix="0" xfId="0">
      <alignment horizontal="center" vertical="center" wrapText="1"/>
    </xf>
    <xf numFmtId="0" fontId="4" fillId="2" borderId="0" applyAlignment="1" pivotButton="0" quotePrefix="0" xfId="0">
      <alignment vertical="center"/>
    </xf>
    <xf numFmtId="0" fontId="7" fillId="4" borderId="1" applyAlignment="1" pivotButton="0" quotePrefix="0" xfId="0">
      <alignment horizontal="center" vertical="center"/>
    </xf>
    <xf numFmtId="0" fontId="7" fillId="8" borderId="1" applyAlignment="1" pivotButton="0" quotePrefix="0" xfId="0">
      <alignment horizontal="center" vertical="center"/>
    </xf>
    <xf numFmtId="9" fontId="8" fillId="4" borderId="1" pivotButton="0" quotePrefix="0" xfId="0"/>
    <xf numFmtId="9" fontId="8" fillId="8" borderId="1" pivotButton="0" quotePrefix="0" xfId="0"/>
    <xf numFmtId="0" fontId="3" fillId="4" borderId="1" pivotButton="0" quotePrefix="0" xfId="0"/>
    <xf numFmtId="0" fontId="6" fillId="4" borderId="1" applyAlignment="1" pivotButton="0" quotePrefix="0" xfId="0">
      <alignment horizontal="center" vertical="center"/>
    </xf>
    <xf numFmtId="164" fontId="3" fillId="4" borderId="1" applyAlignment="1" pivotButton="0" quotePrefix="0" xfId="0">
      <alignment horizontal="center" vertical="center"/>
    </xf>
    <xf numFmtId="0" fontId="3" fillId="8" borderId="1" pivotButton="0" quotePrefix="0" xfId="0"/>
    <xf numFmtId="0" fontId="6" fillId="8" borderId="1" applyAlignment="1" pivotButton="0" quotePrefix="0" xfId="0">
      <alignment horizontal="center" vertical="center"/>
    </xf>
    <xf numFmtId="164" fontId="3" fillId="8" borderId="1" applyAlignment="1" pivotButton="0" quotePrefix="0" xfId="0">
      <alignment horizontal="center" vertical="center"/>
    </xf>
    <xf numFmtId="0" fontId="6" fillId="7" borderId="1" pivotButton="0" quotePrefix="0" xfId="0"/>
    <xf numFmtId="0" fontId="6" fillId="7" borderId="1" applyAlignment="1" pivotButton="0" quotePrefix="0" xfId="0">
      <alignment horizontal="center" vertical="center"/>
    </xf>
    <xf numFmtId="9" fontId="6" fillId="7" borderId="1" applyAlignment="1" pivotButton="0" quotePrefix="0" xfId="0">
      <alignment horizontal="center" vertical="center"/>
    </xf>
    <xf numFmtId="0" fontId="8" fillId="4" borderId="1" applyAlignment="1" pivotButton="0" quotePrefix="0" xfId="0">
      <alignment horizontal="center" vertical="center"/>
    </xf>
    <xf numFmtId="0" fontId="10" fillId="4" borderId="1" applyAlignment="1" pivotButton="0" quotePrefix="0" xfId="0">
      <alignment vertical="top" wrapText="1"/>
    </xf>
    <xf numFmtId="0" fontId="11" fillId="4" borderId="1" applyAlignment="1" pivotButton="0" quotePrefix="0" xfId="0">
      <alignment vertical="top" wrapText="1"/>
    </xf>
    <xf numFmtId="0" fontId="8" fillId="8" borderId="1" applyAlignment="1" pivotButton="0" quotePrefix="0" xfId="0">
      <alignment horizontal="center" vertical="center"/>
    </xf>
    <xf numFmtId="0" fontId="10" fillId="8" borderId="1" applyAlignment="1" pivotButton="0" quotePrefix="0" xfId="0">
      <alignment vertical="top" wrapText="1"/>
    </xf>
    <xf numFmtId="0" fontId="11" fillId="8" borderId="1" applyAlignment="1" pivotButton="0" quotePrefix="0" xfId="0">
      <alignment vertical="top" wrapText="1"/>
    </xf>
    <xf numFmtId="0" fontId="4" fillId="5" borderId="0" applyAlignment="1" pivotButton="0" quotePrefix="0" xfId="0">
      <alignment vertical="center"/>
    </xf>
    <xf numFmtId="0" fontId="6" fillId="4" borderId="1" pivotButton="0" quotePrefix="0" xfId="0"/>
    <xf numFmtId="0" fontId="12" fillId="4" borderId="1" applyAlignment="1" pivotButton="0" quotePrefix="0" xfId="0">
      <alignment horizontal="center" vertical="center"/>
    </xf>
    <xf numFmtId="0" fontId="13" fillId="4" borderId="1" applyAlignment="1" pivotButton="0" quotePrefix="0" xfId="0">
      <alignment horizontal="center" vertical="center"/>
    </xf>
    <xf numFmtId="0" fontId="6" fillId="8" borderId="1" pivotButton="0" quotePrefix="0" xfId="0"/>
    <xf numFmtId="0" fontId="12" fillId="8" borderId="1" applyAlignment="1" pivotButton="0" quotePrefix="0" xfId="0">
      <alignment horizontal="center" vertical="center"/>
    </xf>
    <xf numFmtId="0" fontId="13" fillId="8" borderId="1" applyAlignment="1" pivotButton="0" quotePrefix="0" xfId="0">
      <alignment horizontal="center" vertical="center"/>
    </xf>
    <xf numFmtId="0" fontId="3" fillId="10" borderId="1" pivotButton="0" quotePrefix="0" xfId="0"/>
    <xf numFmtId="0" fontId="2" fillId="10" borderId="1" applyAlignment="1" pivotButton="0" quotePrefix="0" xfId="0">
      <alignment horizontal="right" vertical="center"/>
    </xf>
    <xf numFmtId="0" fontId="1" fillId="10" borderId="1" applyAlignment="1" pivotButton="0" quotePrefix="0" xfId="0">
      <alignment horizontal="center" vertical="center"/>
    </xf>
    <xf numFmtId="0" fontId="14" fillId="11" borderId="1" applyAlignment="1" pivotButton="0" quotePrefix="0" xfId="0">
      <alignment horizontal="center" vertical="center"/>
    </xf>
    <xf numFmtId="0" fontId="15" fillId="12" borderId="1" applyAlignment="1" pivotButton="0" quotePrefix="0" xfId="0">
      <alignment horizontal="center" vertical="center"/>
    </xf>
    <xf numFmtId="0" fontId="16" fillId="13" borderId="0" applyAlignment="1" pivotButton="0" quotePrefix="0" xfId="0">
      <alignment horizontal="center" vertical="center"/>
    </xf>
    <xf numFmtId="0" fontId="0" fillId="13" borderId="0" pivotButton="0" quotePrefix="0" xfId="0"/>
    <xf numFmtId="0" fontId="16" fillId="14" borderId="0" applyAlignment="1" pivotButton="0" quotePrefix="0" xfId="0">
      <alignment horizontal="center" vertical="center"/>
    </xf>
    <xf numFmtId="0" fontId="0" fillId="14" borderId="0" pivotButton="0" quotePrefix="0" xfId="0"/>
    <xf numFmtId="0" fontId="16" fillId="15" borderId="0" applyAlignment="1" pivotButton="0" quotePrefix="0" xfId="0">
      <alignment horizontal="center" vertical="center"/>
    </xf>
    <xf numFmtId="0" fontId="0" fillId="15"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Content Relevance Distribution (n=15)</a:t>
            </a:r>
          </a:p>
        </rich>
      </tx>
    </title>
    <plotArea>
      <barChart>
        <barDir val="bar"/>
        <grouping val="clustered"/>
        <ser>
          <idx val="0"/>
          <order val="0"/>
          <spPr>
            <a:solidFill>
              <a:srgbClr val="2A78D6"/>
            </a:solidFill>
            <a:ln>
              <a:prstDash val="solid"/>
            </a:ln>
          </spPr>
          <cat>
            <numRef>
              <f>'Participant Analysis'!$A$12:$A$16</f>
            </numRef>
          </cat>
          <val>
            <numRef>
              <f>'Participant Analysis'!$B$12:$B$16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Speaker &amp; Presentation Ratings (n=15)</a:t>
            </a:r>
          </a:p>
        </rich>
      </tx>
    </title>
    <plotArea>
      <barChart>
        <barDir val="bar"/>
        <grouping val="clustered"/>
        <ser>
          <idx val="0"/>
          <order val="0"/>
          <spPr>
            <a:solidFill>
              <a:srgbClr val="EB6834"/>
            </a:solidFill>
            <a:ln>
              <a:prstDash val="solid"/>
            </a:ln>
          </spPr>
          <cat>
            <numRef>
              <f>'Participant Analysis'!$A$21:$A$24</f>
            </numRef>
          </cat>
          <val>
            <numRef>
              <f>'Participant Analysis'!$B$21:$B$24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Overall Experience Ratings (n=15)</a:t>
            </a:r>
          </a:p>
        </rich>
      </tx>
    </title>
    <plotArea>
      <barChart>
        <barDir val="bar"/>
        <grouping val="clustered"/>
        <ser>
          <idx val="0"/>
          <order val="0"/>
          <spPr>
            <a:solidFill>
              <a:srgbClr val="1BAF7A"/>
            </a:solidFill>
            <a:ln>
              <a:prstDash val="solid"/>
            </a:ln>
          </spPr>
          <cat>
            <numRef>
              <f>'Participant Analysis'!$A$29:$A$32</f>
            </numRef>
          </cat>
          <val>
            <numRef>
              <f>'Participant Analysis'!$B$29:$B$32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7200000" cy="396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19</row>
      <rowOff>0</rowOff>
    </from>
    <ext cx="7200000" cy="396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27</row>
      <rowOff>0</rowOff>
    </from>
    <ext cx="7200000" cy="39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C3144"/>
    <outlinePr summaryBelow="1" summaryRight="1"/>
    <pageSetUpPr/>
  </sheetPr>
  <dimension ref="A1:H26"/>
  <sheetViews>
    <sheetView showGridLines="0" workbookViewId="0">
      <selection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NTAC 2026 Webinar — Feedback Analysis Report</t>
        </is>
      </c>
      <c r="B1" s="2" t="n"/>
      <c r="C1" s="2" t="n"/>
      <c r="D1" s="2" t="n"/>
      <c r="E1" s="2" t="n"/>
      <c r="F1" s="2" t="n"/>
      <c r="G1" s="2" t="n"/>
      <c r="H1" s="2" t="n"/>
    </row>
    <row r="2" ht="10" customHeight="1">
      <c r="A2" s="2" t="n"/>
      <c r="B2" s="2" t="n"/>
      <c r="C2" s="2" t="n"/>
      <c r="D2" s="2" t="n"/>
      <c r="E2" s="2" t="n"/>
      <c r="F2" s="2" t="n"/>
      <c r="G2" s="2" t="n"/>
      <c r="H2" s="2" t="n"/>
    </row>
    <row r="3" ht="22" customHeight="1">
      <c r="A3" s="3" t="inlineStr">
        <is>
          <t>Post-event analysis  |  Participant + Team feedback  |  Data collected Sep 22–24, 2026</t>
        </is>
      </c>
      <c r="B3" s="2" t="n"/>
      <c r="C3" s="2" t="n"/>
      <c r="D3" s="2" t="n"/>
      <c r="E3" s="2" t="n"/>
      <c r="F3" s="2" t="n"/>
      <c r="G3" s="2" t="n"/>
      <c r="H3" s="2" t="n"/>
    </row>
    <row r="5">
      <c r="A5" s="4" t="inlineStr">
        <is>
          <t>Total Responses</t>
        </is>
      </c>
      <c r="B5" s="5" t="n"/>
      <c r="C5" s="4" t="inlineStr">
        <is>
          <t>Avg Content Relevance</t>
        </is>
      </c>
      <c r="D5" s="5" t="n"/>
      <c r="E5" s="4" t="inlineStr">
        <is>
          <t>Speaker Satisfaction</t>
        </is>
      </c>
      <c r="F5" s="5" t="n"/>
      <c r="G5" s="4" t="inlineStr">
        <is>
          <t>AI Understanding</t>
        </is>
      </c>
      <c r="H5" s="5" t="n"/>
    </row>
    <row r="6" ht="36" customHeight="1">
      <c r="A6" s="6">
        <f>COUNTA('Participant Responses'!C3:C100)+COUNTA('Team Responses'!C3:C100)</f>
        <v/>
      </c>
      <c r="B6" s="5" t="n"/>
      <c r="C6" s="6">
        <f>ROUND(AVERAGE('Participant Responses'!D3:D17),1)&amp;" / 5"</f>
        <v/>
      </c>
      <c r="D6" s="5" t="n"/>
      <c r="E6" s="6">
        <f>TEXT((COUNTIF('Participant Responses'!E3:E17,"Excellent")+COUNTIF('Participant Responses'!E3:E17,"Very Good"))/COUNTA('Participant Responses'!C3:C100),"0%")</f>
        <v/>
      </c>
      <c r="F6" s="5" t="n"/>
      <c r="G6" s="6">
        <f>TEXT(COUNTIF('Participant Responses'!G3:G17,"Yes")/COUNTA('Participant Responses'!C3:C100),"0%")</f>
        <v/>
      </c>
      <c r="H6" s="5" t="n"/>
    </row>
    <row r="7">
      <c r="A7" s="7" t="inlineStr">
        <is>
          <t>Participant + Team</t>
        </is>
      </c>
      <c r="B7" s="5" t="n"/>
      <c r="C7" s="7" t="inlineStr">
        <is>
          <t>Participant avg rating</t>
        </is>
      </c>
      <c r="D7" s="5" t="n"/>
      <c r="E7" s="7" t="inlineStr">
        <is>
          <t>Excellent + Very Good</t>
        </is>
      </c>
      <c r="F7" s="5" t="n"/>
      <c r="G7" s="7" t="inlineStr">
        <is>
          <t>Said Yes</t>
        </is>
      </c>
      <c r="H7" s="5" t="n"/>
    </row>
    <row r="10" ht="28" customHeight="1">
      <c r="A10" s="8" t="inlineStr">
        <is>
          <t>KEY FINDINGS</t>
        </is>
      </c>
    </row>
    <row r="11" ht="40" customHeight="1">
      <c r="A11" s="9" t="inlineStr">
        <is>
          <t>1. Content quality validated on both sides</t>
        </is>
      </c>
      <c r="B11" s="10" t="n"/>
      <c r="C11" s="11" t="inlineStr">
        <is>
          <t>Team rated participation 4.4/5. Participants gave content 4.2/5 and speakers 93% favorable. The core event delivers strong value.</t>
        </is>
      </c>
      <c r="D11" s="10" t="n"/>
      <c r="E11" s="10" t="n"/>
      <c r="F11" s="10" t="n"/>
      <c r="G11" s="10" t="n"/>
      <c r="H11" s="10" t="n"/>
    </row>
    <row r="12" ht="40" customHeight="1">
      <c r="A12" s="12" t="inlineStr">
        <is>
          <t>2. Attendance is the primary gap, not quality</t>
        </is>
      </c>
      <c r="B12" s="13" t="n"/>
      <c r="C12" s="14" t="inlineStr">
        <is>
          <t>Only 15 participant feedback responses. Team's most-cited challenge was low attendance vs registrations. This is a funnel problem, not a product problem.</t>
        </is>
      </c>
      <c r="D12" s="13" t="n"/>
      <c r="E12" s="13" t="n"/>
      <c r="F12" s="13" t="n"/>
      <c r="G12" s="13" t="n"/>
      <c r="H12" s="13" t="n"/>
    </row>
    <row r="13" ht="40" customHeight="1">
      <c r="A13" s="9" t="inlineStr">
        <is>
          <t>3. Timing needs improvement</t>
        </is>
      </c>
      <c r="B13" s="10" t="n"/>
      <c r="C13" s="11" t="inlineStr">
        <is>
          <t>Participants' #1 improvement suggestion. Team also flagged timeline and coordination challenges. Both sides point to tighter scheduling needed.</t>
        </is>
      </c>
      <c r="D13" s="10" t="n"/>
      <c r="E13" s="10" t="n"/>
      <c r="F13" s="10" t="n"/>
      <c r="G13" s="10" t="n"/>
      <c r="H13" s="10" t="n"/>
    </row>
    <row r="14" ht="40" customHeight="1">
      <c r="A14" s="12" t="inlineStr">
        <is>
          <t>4. Participants want more depth</t>
        </is>
      </c>
      <c r="B14" s="13" t="n"/>
      <c r="C14" s="14" t="inlineStr">
        <is>
          <t>Requests for workshops, live demos, hands-on AI sessions, and more Q&amp;A time. The audience is engaged and wants more.</t>
        </is>
      </c>
      <c r="D14" s="13" t="n"/>
      <c r="E14" s="13" t="n"/>
      <c r="F14" s="13" t="n"/>
      <c r="G14" s="13" t="n"/>
      <c r="H14" s="13" t="n"/>
    </row>
    <row r="15" ht="40" customHeight="1">
      <c r="A15" s="9" t="inlineStr">
        <is>
          <t>5. Team execution was strong</t>
        </is>
      </c>
      <c r="B15" s="10" t="n"/>
      <c r="C15" s="11" t="inlineStr">
        <is>
          <t>Collaboration, checklists, and test runs worked well. Challenges were external (budget cuts, attendance) not internal execution failures.</t>
        </is>
      </c>
      <c r="D15" s="10" t="n"/>
      <c r="E15" s="10" t="n"/>
      <c r="F15" s="10" t="n"/>
      <c r="G15" s="10" t="n"/>
      <c r="H15" s="10" t="n"/>
    </row>
    <row r="17" ht="28" customHeight="1">
      <c r="A17" s="8" t="inlineStr">
        <is>
          <t>PRIORITISED RECOMMENDATIONS</t>
        </is>
      </c>
    </row>
    <row r="18">
      <c r="A18" s="15" t="inlineStr">
        <is>
          <t>Priority</t>
        </is>
      </c>
      <c r="B18" s="5" t="n"/>
      <c r="C18" s="15" t="inlineStr">
        <is>
          <t>Recommendation</t>
        </is>
      </c>
      <c r="D18" s="5" t="n"/>
      <c r="E18" s="5" t="n"/>
      <c r="F18" s="15" t="inlineStr">
        <is>
          <t>Details</t>
        </is>
      </c>
      <c r="G18" s="5" t="n"/>
      <c r="H18" s="5" t="n"/>
    </row>
    <row r="19" ht="48" customHeight="1">
      <c r="A19" s="16" t="inlineStr">
        <is>
          <t>High</t>
        </is>
      </c>
      <c r="B19" s="10" t="n"/>
      <c r="C19" s="9" t="inlineStr">
        <is>
          <t>Build an attendance funnel</t>
        </is>
      </c>
      <c r="D19" s="10" t="n"/>
      <c r="E19" s="10" t="n"/>
      <c r="F19" s="11" t="inlineStr">
        <is>
          <t>Target 3x desired attendance. Multi-touch reminders: registration email, calendar invite, 1-week reminder, 3-day phone outreach, day-of.</t>
        </is>
      </c>
      <c r="G19" s="10" t="n"/>
      <c r="H19" s="10" t="n"/>
    </row>
    <row r="20" ht="48" customHeight="1">
      <c r="A20" s="17" t="inlineStr">
        <is>
          <t>High</t>
        </is>
      </c>
      <c r="B20" s="13" t="n"/>
      <c r="C20" s="12" t="inlineStr">
        <is>
          <t>Start promotion 3 weeks early</t>
        </is>
      </c>
      <c r="D20" s="13" t="n"/>
      <c r="E20" s="13" t="n"/>
      <c r="F20" s="14" t="inlineStr">
        <is>
          <t>Combine social media, email, partner channels, personal phone outreach. Assign team members to phone batches.</t>
        </is>
      </c>
      <c r="G20" s="13" t="n"/>
      <c r="H20" s="13" t="n"/>
    </row>
    <row r="21" ht="48" customHeight="1">
      <c r="A21" s="16" t="inlineStr">
        <is>
          <t>High</t>
        </is>
      </c>
      <c r="B21" s="10" t="n"/>
      <c r="C21" s="9" t="inlineStr">
        <is>
          <t>Add hands-on workshop segments</t>
        </is>
      </c>
      <c r="D21" s="10" t="n"/>
      <c r="E21" s="10" t="n"/>
      <c r="F21" s="11" t="inlineStr">
        <is>
          <t>Include at least one live, interactive AI session. Participants explicitly requested this.</t>
        </is>
      </c>
      <c r="G21" s="10" t="n"/>
      <c r="H21" s="10" t="n"/>
    </row>
    <row r="22" ht="48" customHeight="1">
      <c r="A22" s="18" t="inlineStr">
        <is>
          <t>Medium</t>
        </is>
      </c>
      <c r="B22" s="13" t="n"/>
      <c r="C22" s="12" t="inlineStr">
        <is>
          <t>Tighten event timing</t>
        </is>
      </c>
      <c r="D22" s="13" t="n"/>
      <c r="E22" s="13" t="n"/>
      <c r="F22" s="14" t="inlineStr">
        <is>
          <t>Strict session time limits, transition buffers, dedicated timekeeper. #1 participant complaint.</t>
        </is>
      </c>
      <c r="G22" s="13" t="n"/>
      <c r="H22" s="13" t="n"/>
    </row>
    <row r="23" ht="48" customHeight="1">
      <c r="A23" s="19" t="inlineStr">
        <is>
          <t>Medium</t>
        </is>
      </c>
      <c r="B23" s="10" t="n"/>
      <c r="C23" s="9" t="inlineStr">
        <is>
          <t>Issue participation certificates</t>
        </is>
      </c>
      <c r="D23" s="10" t="n"/>
      <c r="E23" s="10" t="n"/>
      <c r="F23" s="11" t="inlineStr">
        <is>
          <t>Low-cost, high-impact. Automate certificate generation.</t>
        </is>
      </c>
      <c r="G23" s="10" t="n"/>
      <c r="H23" s="10" t="n"/>
    </row>
    <row r="24" ht="48" customHeight="1">
      <c r="A24" s="18" t="inlineStr">
        <is>
          <t>Medium</t>
        </is>
      </c>
      <c r="B24" s="13" t="n"/>
      <c r="C24" s="12" t="inlineStr">
        <is>
          <t>Pre-challenge engagement sequence</t>
        </is>
      </c>
      <c r="D24" s="13" t="n"/>
      <c r="E24" s="13" t="n"/>
      <c r="F24" s="14" t="inlineStr">
        <is>
          <t>Use review period for pre-challenge webinar. Increases retention and attendance.</t>
        </is>
      </c>
      <c r="G24" s="13" t="n"/>
      <c r="H24" s="13" t="n"/>
    </row>
    <row r="25" ht="48" customHeight="1">
      <c r="A25" s="20" t="inlineStr">
        <is>
          <t>Low</t>
        </is>
      </c>
      <c r="B25" s="10" t="n"/>
      <c r="C25" s="9" t="inlineStr">
        <is>
          <t>Allocate longer review timelines</t>
        </is>
      </c>
      <c r="D25" s="10" t="n"/>
      <c r="E25" s="10" t="n"/>
      <c r="F25" s="11" t="inlineStr">
        <is>
          <t>Build deadline extensions into initial plan. Set application targets.</t>
        </is>
      </c>
      <c r="G25" s="10" t="n"/>
      <c r="H25" s="10" t="n"/>
    </row>
    <row r="26" ht="48" customHeight="1">
      <c r="A26" s="21" t="inlineStr">
        <is>
          <t>Low</t>
        </is>
      </c>
      <c r="B26" s="13" t="n"/>
      <c r="C26" s="12" t="inlineStr">
        <is>
          <t>Document finalist journeys</t>
        </is>
      </c>
      <c r="D26" s="13" t="n"/>
      <c r="E26" s="13" t="n"/>
      <c r="F26" s="14" t="inlineStr">
        <is>
          <t>Capture finalists' project features and video testimonials as case studies.</t>
        </is>
      </c>
      <c r="G26" s="13" t="n"/>
      <c r="H26" s="13" t="n"/>
    </row>
  </sheetData>
  <mergeCells count="53">
    <mergeCell ref="F20:H20"/>
    <mergeCell ref="A24:B24"/>
    <mergeCell ref="C6:D6"/>
    <mergeCell ref="A15:B15"/>
    <mergeCell ref="F21:H21"/>
    <mergeCell ref="F18:H18"/>
    <mergeCell ref="A11:B11"/>
    <mergeCell ref="C5:D5"/>
    <mergeCell ref="C22:E22"/>
    <mergeCell ref="E5:F5"/>
    <mergeCell ref="F26:H26"/>
    <mergeCell ref="C12:H12"/>
    <mergeCell ref="C21:E21"/>
    <mergeCell ref="A6:B6"/>
    <mergeCell ref="F23:H23"/>
    <mergeCell ref="C11:H11"/>
    <mergeCell ref="F22:H22"/>
    <mergeCell ref="A7:B7"/>
    <mergeCell ref="G7:H7"/>
    <mergeCell ref="A25:B25"/>
    <mergeCell ref="C23:E23"/>
    <mergeCell ref="G6:H6"/>
    <mergeCell ref="A18:B18"/>
    <mergeCell ref="A12:B12"/>
    <mergeCell ref="A26:B26"/>
    <mergeCell ref="A3:H3"/>
    <mergeCell ref="E6:F6"/>
    <mergeCell ref="A21:B21"/>
    <mergeCell ref="C19:E19"/>
    <mergeCell ref="C13:H13"/>
    <mergeCell ref="A5:B5"/>
    <mergeCell ref="G5:H5"/>
    <mergeCell ref="C18:E18"/>
    <mergeCell ref="A14:B14"/>
    <mergeCell ref="A23:B23"/>
    <mergeCell ref="A1:H2"/>
    <mergeCell ref="A22:B22"/>
    <mergeCell ref="C15:H15"/>
    <mergeCell ref="A17:H17"/>
    <mergeCell ref="C24:E24"/>
    <mergeCell ref="A20:B20"/>
    <mergeCell ref="F25:H25"/>
    <mergeCell ref="C7:D7"/>
    <mergeCell ref="F19:H19"/>
    <mergeCell ref="C14:H14"/>
    <mergeCell ref="E7:F7"/>
    <mergeCell ref="A19:B19"/>
    <mergeCell ref="A10:H10"/>
    <mergeCell ref="A13:B13"/>
    <mergeCell ref="C26:E26"/>
    <mergeCell ref="C20:E20"/>
    <mergeCell ref="C25:E25"/>
    <mergeCell ref="F24:H24"/>
  </mergeCells>
  <pageMargins left="0.75" right="0.75" top="1" bottom="1" header="0.5" footer="0.5"/>
</worksheet>
</file>

<file path=xl/worksheets/sheet2.xml><?xml version="1.0" encoding="utf-8"?>
<worksheet xmlns="http://schemas.openxmlformats.org/spreadsheetml/2006/main">
  <sheetPr>
    <tabColor rgb="002A9D8F"/>
    <outlinePr summaryBelow="1" summaryRight="1"/>
    <pageSetUpPr/>
  </sheetPr>
  <dimension ref="A1:I17"/>
  <sheetViews>
    <sheetView workbookViewId="0">
      <selection activeCell="A1" sqref="A1"/>
    </sheetView>
  </sheetViews>
  <sheetFormatPr baseColWidth="8" defaultRowHeight="15"/>
  <cols>
    <col width="5" customWidth="1" min="1" max="1"/>
    <col width="22" customWidth="1" min="2" max="2"/>
    <col width="32" customWidth="1" min="3" max="3"/>
    <col width="20" customWidth="1" min="4" max="4"/>
    <col width="16" customWidth="1" min="5" max="5"/>
    <col width="42" customWidth="1" min="6" max="6"/>
    <col width="22" customWidth="1" min="7" max="7"/>
    <col width="18" customWidth="1" min="8" max="8"/>
    <col width="42" customWidth="1" min="9" max="9"/>
  </cols>
  <sheetData>
    <row r="1" ht="32" customHeight="1">
      <c r="A1" s="22" t="inlineStr">
        <is>
          <t>NTAC 2026 Webinar — Participant Feedback Responses</t>
        </is>
      </c>
      <c r="B1" s="23" t="n"/>
      <c r="C1" s="23" t="n"/>
      <c r="D1" s="23" t="n"/>
      <c r="E1" s="23" t="n"/>
      <c r="F1" s="23" t="n"/>
      <c r="G1" s="23" t="n"/>
      <c r="H1" s="23" t="n"/>
      <c r="I1" s="23" t="n"/>
    </row>
    <row r="2" ht="30" customHeight="1">
      <c r="A2" s="24" t="inlineStr">
        <is>
          <t>#</t>
        </is>
      </c>
      <c r="B2" s="24" t="inlineStr">
        <is>
          <t>Timestamp</t>
        </is>
      </c>
      <c r="C2" s="24" t="inlineStr">
        <is>
          <t>Username (Email)</t>
        </is>
      </c>
      <c r="D2" s="24" t="inlineStr">
        <is>
          <t>Content Relevance (1-5)</t>
        </is>
      </c>
      <c r="E2" s="24" t="inlineStr">
        <is>
          <t>Speaker Rating</t>
        </is>
      </c>
      <c r="F2" s="24" t="inlineStr">
        <is>
          <t>Most Valuable Part</t>
        </is>
      </c>
      <c r="G2" s="24" t="inlineStr">
        <is>
          <t>Improved AI Understanding?</t>
        </is>
      </c>
      <c r="H2" s="24" t="inlineStr">
        <is>
          <t>Overall Experience</t>
        </is>
      </c>
      <c r="I2" s="24" t="inlineStr">
        <is>
          <t>Suggestions for Improvement</t>
        </is>
      </c>
    </row>
    <row r="3" ht="36" customHeight="1">
      <c r="A3" s="25" t="n">
        <v>1</v>
      </c>
      <c r="B3" s="11" t="inlineStr">
        <is>
          <t>2026/09/23 1:05:04 PM</t>
        </is>
      </c>
      <c r="C3" s="11" t="inlineStr">
        <is>
          <t>davidoluwaseun94@gmail.com</t>
        </is>
      </c>
      <c r="D3" s="11" t="n">
        <v>4</v>
      </c>
      <c r="E3" s="11" t="inlineStr">
        <is>
          <t>Very Good</t>
        </is>
      </c>
      <c r="F3" s="11" t="inlineStr">
        <is>
          <t>Learning new things</t>
        </is>
      </c>
      <c r="G3" s="11" t="inlineStr">
        <is>
          <t>Yes</t>
        </is>
      </c>
      <c r="H3" s="11" t="inlineStr">
        <is>
          <t>Very Good</t>
        </is>
      </c>
      <c r="I3" s="11" t="inlineStr">
        <is>
          <t>Timing</t>
        </is>
      </c>
    </row>
    <row r="4" ht="36" customHeight="1">
      <c r="A4" s="26" t="n">
        <v>2</v>
      </c>
      <c r="B4" s="27" t="inlineStr">
        <is>
          <t>2026/09/23 1:08:19 PM</t>
        </is>
      </c>
      <c r="C4" s="27" t="inlineStr">
        <is>
          <t>ezeifeanyij@gmail.com</t>
        </is>
      </c>
      <c r="D4" s="27" t="n">
        <v>5</v>
      </c>
      <c r="E4" s="27" t="inlineStr">
        <is>
          <t>Very Good</t>
        </is>
      </c>
      <c r="F4" s="27" t="inlineStr">
        <is>
          <t>Pitch Session</t>
        </is>
      </c>
      <c r="G4" s="27" t="inlineStr">
        <is>
          <t>Yes</t>
        </is>
      </c>
      <c r="H4" s="27" t="inlineStr">
        <is>
          <t>Very Good</t>
        </is>
      </c>
      <c r="I4" s="27" t="inlineStr">
        <is>
          <t>Timing</t>
        </is>
      </c>
    </row>
    <row r="5" ht="36" customHeight="1">
      <c r="A5" s="25" t="n">
        <v>3</v>
      </c>
      <c r="B5" s="11" t="inlineStr">
        <is>
          <t>2026/09/23 1:09:38 PM</t>
        </is>
      </c>
      <c r="C5" s="11" t="inlineStr">
        <is>
          <t>nauwassalehmusatafa@gmail.com</t>
        </is>
      </c>
      <c r="D5" s="11" t="n">
        <v>5</v>
      </c>
      <c r="E5" s="11" t="inlineStr">
        <is>
          <t>Excellent</t>
        </is>
      </c>
      <c r="F5" s="11" t="inlineStr">
        <is>
          <t>Learning how to use AI to improve our presentation and pitch. It showed me how AI can help us organize our ideas, communicate our project clearly, and present our solutions in a more professional and convincing way.</t>
        </is>
      </c>
      <c r="G5" s="11" t="inlineStr">
        <is>
          <t>Yes</t>
        </is>
      </c>
      <c r="H5" s="11" t="inlineStr">
        <is>
          <t>Excellent</t>
        </is>
      </c>
      <c r="I5" s="11" t="inlineStr">
        <is>
          <t>More practical, hands-on activities, real-life examples, and interactive sessions. More time for Q&amp;A.</t>
        </is>
      </c>
    </row>
    <row r="6" ht="36" customHeight="1">
      <c r="A6" s="26" t="n">
        <v>4</v>
      </c>
      <c r="B6" s="27" t="inlineStr">
        <is>
          <t>2026/09/23 1:12:19 PM</t>
        </is>
      </c>
      <c r="C6" s="27" t="inlineStr">
        <is>
          <t>aliyuhilal82@gmail.com</t>
        </is>
      </c>
      <c r="D6" s="27" t="n">
        <v>1</v>
      </c>
      <c r="E6" s="27" t="inlineStr">
        <is>
          <t>Very Good</t>
        </is>
      </c>
      <c r="F6" s="27" t="inlineStr">
        <is>
          <t>Ye</t>
        </is>
      </c>
      <c r="G6" s="27" t="inlineStr">
        <is>
          <t>Yes</t>
        </is>
      </c>
      <c r="H6" s="27" t="inlineStr">
        <is>
          <t>Excellent</t>
        </is>
      </c>
      <c r="I6" s="27" t="inlineStr">
        <is>
          <t>I improve the Ai</t>
        </is>
      </c>
    </row>
    <row r="7" ht="36" customHeight="1">
      <c r="A7" s="25" t="n">
        <v>5</v>
      </c>
      <c r="B7" s="11" t="inlineStr">
        <is>
          <t>2026/09/23 1:24:01 PM</t>
        </is>
      </c>
      <c r="C7" s="11" t="inlineStr">
        <is>
          <t>ibeamaluchijioke@gmail.com</t>
        </is>
      </c>
      <c r="D7" s="11" t="n">
        <v>5</v>
      </c>
      <c r="E7" s="11" t="inlineStr">
        <is>
          <t>Excellent</t>
        </is>
      </c>
      <c r="F7" s="11" t="inlineStr">
        <is>
          <t>It educated me more on AI</t>
        </is>
      </c>
      <c r="G7" s="11" t="inlineStr">
        <is>
          <t>Yes</t>
        </is>
      </c>
      <c r="H7" s="11" t="inlineStr">
        <is>
          <t>Very Good</t>
        </is>
      </c>
      <c r="I7" s="11" t="inlineStr">
        <is>
          <t>For me everything is perfect</t>
        </is>
      </c>
    </row>
    <row r="8" ht="36" customHeight="1">
      <c r="A8" s="26" t="n">
        <v>6</v>
      </c>
      <c r="B8" s="27" t="inlineStr">
        <is>
          <t>2026/09/23 1:30:11 PM</t>
        </is>
      </c>
      <c r="C8" s="27" t="inlineStr">
        <is>
          <t>abdulazeezbello5882@gmail.com</t>
        </is>
      </c>
      <c r="D8" s="27" t="n">
        <v>5</v>
      </c>
      <c r="E8" s="27" t="inlineStr">
        <is>
          <t>Very Good</t>
        </is>
      </c>
      <c r="F8" s="27" t="inlineStr">
        <is>
          <t>.</t>
        </is>
      </c>
      <c r="G8" s="27" t="inlineStr">
        <is>
          <t>Yes</t>
        </is>
      </c>
      <c r="H8" s="27" t="inlineStr">
        <is>
          <t>Very Good</t>
        </is>
      </c>
      <c r="I8" s="27" t="inlineStr">
        <is>
          <t>Its great</t>
        </is>
      </c>
    </row>
    <row r="9" ht="36" customHeight="1">
      <c r="A9" s="25" t="n">
        <v>7</v>
      </c>
      <c r="B9" s="11" t="inlineStr">
        <is>
          <t>2026/09/23 1:36:16 PM</t>
        </is>
      </c>
      <c r="C9" s="11" t="inlineStr">
        <is>
          <t>9creditt@gmail.com</t>
        </is>
      </c>
      <c r="D9" s="11" t="n">
        <v>4</v>
      </c>
      <c r="E9" s="11" t="inlineStr">
        <is>
          <t>Excellent</t>
        </is>
      </c>
      <c r="F9" s="11" t="inlineStr">
        <is>
          <t>Introduction</t>
        </is>
      </c>
      <c r="G9" s="11" t="inlineStr">
        <is>
          <t>Yes</t>
        </is>
      </c>
      <c r="H9" s="11" t="inlineStr">
        <is>
          <t>Very Good</t>
        </is>
      </c>
      <c r="I9" s="11" t="inlineStr">
        <is>
          <t>Attaching the certificate of participation</t>
        </is>
      </c>
    </row>
    <row r="10" ht="36" customHeight="1">
      <c r="A10" s="26" t="n">
        <v>8</v>
      </c>
      <c r="B10" s="27" t="inlineStr">
        <is>
          <t>2026/09/23 4:29:33 PM</t>
        </is>
      </c>
      <c r="C10" s="27" t="inlineStr">
        <is>
          <t>kolawoleoyelusi@gmail.com</t>
        </is>
      </c>
      <c r="D10" s="27" t="n">
        <v>3</v>
      </c>
      <c r="E10" s="27" t="inlineStr">
        <is>
          <t>Excellent</t>
        </is>
      </c>
      <c r="F10" s="27" t="inlineStr">
        <is>
          <t>The ai part</t>
        </is>
      </c>
      <c r="G10" s="27" t="inlineStr">
        <is>
          <t>Yes</t>
        </is>
      </c>
      <c r="H10" s="27" t="inlineStr">
        <is>
          <t>Excellent</t>
        </is>
      </c>
      <c r="I10" s="27" t="inlineStr">
        <is>
          <t>More ai future</t>
        </is>
      </c>
    </row>
    <row r="11" ht="36" customHeight="1">
      <c r="A11" s="25" t="n">
        <v>9</v>
      </c>
      <c r="B11" s="11" t="inlineStr">
        <is>
          <t>2026/09/23 5:37:21 PM</t>
        </is>
      </c>
      <c r="C11" s="11" t="inlineStr">
        <is>
          <t>peteramadic@gmail.com</t>
        </is>
      </c>
      <c r="D11" s="11" t="n">
        <v>5</v>
      </c>
      <c r="E11" s="11" t="inlineStr">
        <is>
          <t>Excellent</t>
        </is>
      </c>
      <c r="F11" s="11" t="inlineStr">
        <is>
          <t>How the speakers touched every area Ai needs to come in in our world today</t>
        </is>
      </c>
      <c r="G11" s="11" t="inlineStr">
        <is>
          <t>Yes</t>
        </is>
      </c>
      <c r="H11" s="11" t="inlineStr">
        <is>
          <t>Excellent</t>
        </is>
      </c>
      <c r="I11" s="11" t="inlineStr">
        <is>
          <t>Yes</t>
        </is>
      </c>
    </row>
    <row r="12" ht="36" customHeight="1">
      <c r="A12" s="26" t="n">
        <v>10</v>
      </c>
      <c r="B12" s="27" t="inlineStr">
        <is>
          <t>2026/09/23 6:24:48 PM</t>
        </is>
      </c>
      <c r="C12" s="27" t="inlineStr">
        <is>
          <t>dillonofili667@gmail.com</t>
        </is>
      </c>
      <c r="D12" s="27" t="n">
        <v>5</v>
      </c>
      <c r="E12" s="27" t="inlineStr">
        <is>
          <t>Excellent</t>
        </is>
      </c>
      <c r="F12" s="27" t="inlineStr">
        <is>
          <t>Exploring use cases for AI.</t>
        </is>
      </c>
      <c r="G12" s="27" t="inlineStr">
        <is>
          <t>Yes</t>
        </is>
      </c>
      <c r="H12" s="27" t="inlineStr">
        <is>
          <t>Excellent</t>
        </is>
      </c>
      <c r="I12" s="27" t="inlineStr">
        <is>
          <t>A workshop perhaps, or a live demonstration of practical AI usage.</t>
        </is>
      </c>
    </row>
    <row r="13" ht="36" customHeight="1">
      <c r="A13" s="25" t="n">
        <v>11</v>
      </c>
      <c r="B13" s="11" t="inlineStr">
        <is>
          <t>2026/09/23 6:53:33 PM</t>
        </is>
      </c>
      <c r="C13" s="11" t="inlineStr">
        <is>
          <t>udo.sifon18@gmail.com</t>
        </is>
      </c>
      <c r="D13" s="11" t="n">
        <v>4</v>
      </c>
      <c r="E13" s="11" t="inlineStr">
        <is>
          <t>Very Good</t>
        </is>
      </c>
      <c r="F13" s="11" t="inlineStr">
        <is>
          <t>Everything the speakers said were in line with what I'm doing.</t>
        </is>
      </c>
      <c r="G13" s="11" t="inlineStr">
        <is>
          <t>Yes</t>
        </is>
      </c>
      <c r="H13" s="11" t="inlineStr">
        <is>
          <t>Good</t>
        </is>
      </c>
      <c r="I13" s="11" t="inlineStr">
        <is>
          <t>Exposure opportunities for participants to find people who need their skills.</t>
        </is>
      </c>
    </row>
    <row r="14" ht="36" customHeight="1">
      <c r="A14" s="26" t="n">
        <v>12</v>
      </c>
      <c r="B14" s="27" t="inlineStr">
        <is>
          <t>2026/09/23 7:13:16 PM</t>
        </is>
      </c>
      <c r="C14" s="27" t="inlineStr">
        <is>
          <t>msahal347@gmail.com</t>
        </is>
      </c>
      <c r="D14" s="27" t="n">
        <v>5</v>
      </c>
      <c r="E14" s="27" t="inlineStr">
        <is>
          <t>Excellent</t>
        </is>
      </c>
      <c r="F14" s="27" t="inlineStr">
        <is>
          <t>AI, the future of work, careers or emerging opportunities</t>
        </is>
      </c>
      <c r="G14" s="27" t="inlineStr">
        <is>
          <t>Yes</t>
        </is>
      </c>
      <c r="H14" s="27" t="inlineStr">
        <is>
          <t>Excellent</t>
        </is>
      </c>
      <c r="I14" s="27" t="inlineStr">
        <is>
          <t>Continue with Ai</t>
        </is>
      </c>
    </row>
    <row r="15" ht="36" customHeight="1">
      <c r="A15" s="25" t="n">
        <v>13</v>
      </c>
      <c r="B15" s="11" t="inlineStr">
        <is>
          <t>2026/09/23 7:50:39 PM</t>
        </is>
      </c>
      <c r="C15" s="11" t="inlineStr">
        <is>
          <t>chimanddy@gmail.com</t>
        </is>
      </c>
      <c r="D15" s="11" t="n">
        <v>5</v>
      </c>
      <c r="E15" s="11" t="inlineStr">
        <is>
          <t>Very Good</t>
        </is>
      </c>
      <c r="F15" s="11" t="inlineStr">
        <is>
          <t>It helped me in so many ways</t>
        </is>
      </c>
      <c r="G15" s="11" t="inlineStr">
        <is>
          <t>Yes</t>
        </is>
      </c>
      <c r="H15" s="11" t="inlineStr">
        <is>
          <t>Excellent</t>
        </is>
      </c>
      <c r="I15" s="11" t="inlineStr">
        <is>
          <t>The navigations</t>
        </is>
      </c>
    </row>
    <row r="16" ht="36" customHeight="1">
      <c r="A16" s="26" t="n">
        <v>14</v>
      </c>
      <c r="B16" s="27" t="inlineStr">
        <is>
          <t>2026/09/23 9:16:29 PM</t>
        </is>
      </c>
      <c r="C16" s="27" t="inlineStr">
        <is>
          <t>muhammadhajara60@gmail.com</t>
        </is>
      </c>
      <c r="D16" s="27" t="n">
        <v>4</v>
      </c>
      <c r="E16" s="27" t="inlineStr">
        <is>
          <t>Poor</t>
        </is>
      </c>
      <c r="F16" s="27" t="inlineStr">
        <is>
          <t>Improve my learning skills</t>
        </is>
      </c>
      <c r="G16" s="27" t="inlineStr">
        <is>
          <t>Yes</t>
        </is>
      </c>
      <c r="H16" s="27" t="inlineStr">
        <is>
          <t>Very Good</t>
        </is>
      </c>
      <c r="I16" s="27" t="inlineStr">
        <is>
          <t>Yes</t>
        </is>
      </c>
    </row>
    <row r="17" ht="36" customHeight="1">
      <c r="A17" s="25" t="n">
        <v>15</v>
      </c>
      <c r="B17" s="11" t="inlineStr">
        <is>
          <t>2026/09/24 3:30:38 AM</t>
        </is>
      </c>
      <c r="C17" s="11" t="inlineStr">
        <is>
          <t>nancyikupinyiawajifrank@gmail.com</t>
        </is>
      </c>
      <c r="D17" s="11" t="n">
        <v>3</v>
      </c>
      <c r="E17" s="11" t="inlineStr">
        <is>
          <t>Very Good</t>
        </is>
      </c>
      <c r="F17" s="11" t="inlineStr">
        <is>
          <t>All</t>
        </is>
      </c>
      <c r="G17" s="11" t="inlineStr">
        <is>
          <t>Yes</t>
        </is>
      </c>
      <c r="H17" s="11" t="inlineStr">
        <is>
          <t>Excellent</t>
        </is>
      </c>
      <c r="I17" s="11" t="inlineStr">
        <is>
          <t>Nothing much. You did well</t>
        </is>
      </c>
    </row>
  </sheetData>
  <autoFilter ref="A2:I17"/>
  <mergeCells count="1">
    <mergeCell ref="A1:I1"/>
  </mergeCells>
  <pageMargins left="0.75" right="0.75" top="1" bottom="1" header="0.5" footer="0.5"/>
</worksheet>
</file>

<file path=xl/worksheets/sheet3.xml><?xml version="1.0" encoding="utf-8"?>
<worksheet xmlns="http://schemas.openxmlformats.org/spreadsheetml/2006/main">
  <sheetPr>
    <tabColor rgb="00E9A820"/>
    <outlinePr summaryBelow="1" summaryRight="1"/>
    <pageSetUpPr/>
  </sheetPr>
  <dimension ref="A1:S7"/>
  <sheetViews>
    <sheetView workbookViewId="0">
      <selection activeCell="A1" sqref="A1"/>
    </sheetView>
  </sheetViews>
  <sheetFormatPr baseColWidth="8" defaultRowHeight="15"/>
  <cols>
    <col width="5" customWidth="1" min="1" max="1"/>
    <col width="22" customWidth="1" min="2" max="2"/>
    <col width="32" customWidth="1" min="3" max="3"/>
    <col width="22" customWidth="1" min="4" max="4"/>
    <col width="28" customWidth="1" min="5" max="5"/>
    <col width="20" customWidth="1" min="6" max="6"/>
    <col width="38" customWidth="1" min="7" max="7"/>
    <col width="38" customWidth="1" min="8" max="8"/>
    <col width="38" customWidth="1" min="9" max="9"/>
    <col width="28" customWidth="1" min="10" max="10"/>
    <col width="28" customWidth="1" min="11" max="11"/>
    <col width="42" customWidth="1" min="12" max="12"/>
    <col width="18" customWidth="1" min="13" max="13"/>
    <col width="20" customWidth="1" min="14" max="14"/>
    <col width="38" customWidth="1" min="15" max="15"/>
    <col width="38" customWidth="1" min="16" max="16"/>
    <col width="38" customWidth="1" min="17" max="17"/>
    <col width="38" customWidth="1" min="18" max="18"/>
    <col width="38" customWidth="1" min="19" max="19"/>
  </cols>
  <sheetData>
    <row r="1" ht="32" customHeight="1">
      <c r="A1" s="28" t="inlineStr">
        <is>
          <t>NTAC 2026 Webinar — Internal Team Close-Out Feedback</t>
        </is>
      </c>
      <c r="B1" s="29" t="n"/>
      <c r="C1" s="29" t="n"/>
      <c r="D1" s="29" t="n"/>
      <c r="E1" s="29" t="n"/>
      <c r="F1" s="29" t="n"/>
      <c r="G1" s="29" t="n"/>
      <c r="H1" s="29" t="n"/>
      <c r="I1" s="29" t="n"/>
      <c r="J1" s="29" t="n"/>
      <c r="K1" s="29" t="n"/>
      <c r="L1" s="29" t="n"/>
      <c r="M1" s="29" t="n"/>
      <c r="N1" s="29" t="n"/>
      <c r="O1" s="29" t="n"/>
      <c r="P1" s="29" t="n"/>
      <c r="Q1" s="29" t="n"/>
      <c r="R1" s="29" t="n"/>
      <c r="S1" s="29" t="n"/>
    </row>
    <row r="2" ht="36" customHeight="1">
      <c r="A2" s="30" t="inlineStr">
        <is>
          <t>#</t>
        </is>
      </c>
      <c r="B2" s="30" t="inlineStr">
        <is>
          <t>Timestamp</t>
        </is>
      </c>
      <c r="C2" s="30" t="inlineStr">
        <is>
          <t>Username (Email)</t>
        </is>
      </c>
      <c r="D2" s="30" t="inlineStr">
        <is>
          <t>Name</t>
        </is>
      </c>
      <c r="E2" s="30" t="inlineStr">
        <is>
          <t>Role</t>
        </is>
      </c>
      <c r="F2" s="30" t="inlineStr">
        <is>
          <t>Participation Rating (1-5)</t>
        </is>
      </c>
      <c r="G2" s="30" t="inlineStr">
        <is>
          <t>Most Valuable Part</t>
        </is>
      </c>
      <c r="H2" s="30" t="inlineStr">
        <is>
          <t>What Worked Well</t>
        </is>
      </c>
      <c r="I2" s="30" t="inlineStr">
        <is>
          <t>Challenge 1</t>
        </is>
      </c>
      <c r="J2" s="30" t="inlineStr">
        <is>
          <t>Challenge 2</t>
        </is>
      </c>
      <c r="K2" s="30" t="inlineStr">
        <is>
          <t>Challenge 3</t>
        </is>
      </c>
      <c r="L2" s="30" t="inlineStr">
        <is>
          <t>Top 3 Lessons</t>
        </is>
      </c>
      <c r="M2" s="30" t="inlineStr">
        <is>
          <t>Other Lessons</t>
        </is>
      </c>
      <c r="N2" s="30" t="inlineStr">
        <is>
          <t>AI Challenge Rating (1-5)</t>
        </is>
      </c>
      <c r="O2" s="30" t="inlineStr">
        <is>
          <t>AI Challenge Insights</t>
        </is>
      </c>
      <c r="P2" s="30" t="inlineStr">
        <is>
          <t>Future Improvement Suggestions</t>
        </is>
      </c>
      <c r="Q2" s="30" t="inlineStr">
        <is>
          <t>Notable Feedback / Opportunities</t>
        </is>
      </c>
      <c r="R2" s="30" t="inlineStr">
        <is>
          <t>Start / Stop / Continue</t>
        </is>
      </c>
      <c r="S2" s="30" t="inlineStr">
        <is>
          <t>Final Comments</t>
        </is>
      </c>
    </row>
    <row r="3" ht="100" customHeight="1">
      <c r="A3" s="25" t="n">
        <v>1</v>
      </c>
      <c r="B3" s="11" t="inlineStr">
        <is>
          <t>2026/09/22 1:19:58 PM</t>
        </is>
      </c>
      <c r="C3" s="11" t="inlineStr">
        <is>
          <t>oluwatobi.ibikunle@tobamsgroup.com</t>
        </is>
      </c>
      <c r="D3" s="11" t="inlineStr">
        <is>
          <t>Oluwatobi Ibikunle</t>
        </is>
      </c>
      <c r="E3" s="11" t="inlineStr">
        <is>
          <t>Creative Team Lead</t>
        </is>
      </c>
      <c r="F3" s="11" t="n">
        <v>5</v>
      </c>
      <c r="G3" s="11" t="inlineStr">
        <is>
          <t>Creating the deliverables for the event and the actual event</t>
        </is>
      </c>
      <c r="H3" s="11" t="inlineStr">
        <is>
          <t>Collaborating within the team to push out the needed deliverables</t>
        </is>
      </c>
      <c r="I3" s="11" t="inlineStr">
        <is>
          <t>None</t>
        </is>
      </c>
      <c r="J3" s="11" t="inlineStr">
        <is>
          <t>None</t>
        </is>
      </c>
      <c r="K3" s="11" t="inlineStr"/>
      <c r="L3" s="11" t="inlineStr">
        <is>
          <t>Working ahead of time. Taking into consideration the colors of the partner brand when working on Projects. Constant meetings on deliverables.</t>
        </is>
      </c>
      <c r="M3" s="11" t="inlineStr">
        <is>
          <t>Nil</t>
        </is>
      </c>
      <c r="N3" s="11" t="n">
        <v>4</v>
      </c>
      <c r="O3" s="11" t="inlineStr">
        <is>
          <t>None</t>
        </is>
      </c>
      <c r="P3" s="11" t="inlineStr">
        <is>
          <t>None</t>
        </is>
      </c>
      <c r="Q3" s="11" t="inlineStr">
        <is>
          <t>Feedback on informing applicants who didn't qualify and a way to still have them attend.</t>
        </is>
      </c>
      <c r="R3" s="11" t="inlineStr">
        <is>
          <t>Meeting on Deliverables should continue for major events to ensure everyone is on track.</t>
        </is>
      </c>
      <c r="S3" s="11" t="inlineStr">
        <is>
          <t>Nil</t>
        </is>
      </c>
    </row>
    <row r="4" ht="100" customHeight="1">
      <c r="A4" s="26" t="n">
        <v>2</v>
      </c>
      <c r="B4" s="27" t="inlineStr">
        <is>
          <t>2026/09/22 1:23:20 PM</t>
        </is>
      </c>
      <c r="C4" s="27" t="inlineStr">
        <is>
          <t>peace.aielumoh@tobamsgroup.com</t>
        </is>
      </c>
      <c r="D4" s="27" t="inlineStr">
        <is>
          <t>Peace Aielumoh</t>
        </is>
      </c>
      <c r="E4" s="27" t="inlineStr">
        <is>
          <t>Project Management / Business Operations</t>
        </is>
      </c>
      <c r="F4" s="27" t="n">
        <v>4</v>
      </c>
      <c r="G4" s="27" t="inlineStr">
        <is>
          <t>Webinar planning, partnership building, understanding the attendance funnel and steps for a successful event.</t>
        </is>
      </c>
      <c r="H4" s="27" t="inlineStr">
        <is>
          <t>Teamwork and collaboration. Everyone contributed. Partnership with Access Bank helped reach a wider audience.</t>
        </is>
      </c>
      <c r="I4" s="27" t="inlineStr">
        <is>
          <t>Managing expected attendance and ensuring enough registrations. Addressed through partnership outreach, promotion, and follow-up.</t>
        </is>
      </c>
      <c r="J4" s="27" t="inlineStr"/>
      <c r="K4" s="27" t="inlineStr"/>
      <c r="L4" s="27" t="inlineStr">
        <is>
          <t>1. Start communication early (2-3 weeks before). 2. Have a structured follow-up strategy with phone outreach. 3. Prepare for technical issues with backup plans.</t>
        </is>
      </c>
      <c r="M4" s="27" t="inlineStr">
        <is>
          <t>NA</t>
        </is>
      </c>
      <c r="N4" s="27" t="n">
        <v>4</v>
      </c>
      <c r="O4" s="27" t="inlineStr">
        <is>
          <t>Leverage challenges for webinar attendance. Pre-challenge webinar during review period to keep applicants engaged.</t>
        </is>
      </c>
      <c r="P4" s="27" t="inlineStr">
        <is>
          <t>Allow longer timeline for application review. Keep applicants engaged during review. Clearer communication on timelines.</t>
        </is>
      </c>
      <c r="Q4" s="27" t="inlineStr">
        <is>
          <t>Document top 3 finalists' experience including project features and short videos of their journey.</t>
        </is>
      </c>
      <c r="R4" s="27" t="inlineStr">
        <is>
          <t>Start: More promotional activities. Stop: Relying on registrations as attendance indicator. Continue: Using partnerships and applicant networks.</t>
        </is>
      </c>
      <c r="S4" s="27" t="inlineStr">
        <is>
          <t>Valuable learning experience. With more promotion, longer review timeline, and structured communication, we can improve.</t>
        </is>
      </c>
    </row>
    <row r="5" ht="100" customHeight="1">
      <c r="A5" s="25" t="n">
        <v>3</v>
      </c>
      <c r="B5" s="11" t="inlineStr">
        <is>
          <t>2026/09/22 2:06:14 PM</t>
        </is>
      </c>
      <c r="C5" s="11" t="inlineStr">
        <is>
          <t>maureenanthony95@gmail.com</t>
        </is>
      </c>
      <c r="D5" s="11" t="inlineStr">
        <is>
          <t>Maureen Anayo</t>
        </is>
      </c>
      <c r="E5" s="11" t="inlineStr">
        <is>
          <t>Business Operations</t>
        </is>
      </c>
      <c r="F5" s="11" t="n">
        <v>4</v>
      </c>
      <c r="G5" s="11" t="inlineStr">
        <is>
          <t>Seeing different aspects of planning and coordination come together. Learning from the process and collaborating with team members.</t>
        </is>
      </c>
      <c r="H5" s="11" t="inlineStr">
        <is>
          <t>Collaboration and communication among the planning team. Technical preparation and test run ensured smooth execution.</t>
        </is>
      </c>
      <c r="I5" s="11" t="inlineStr">
        <is>
          <t>Coordinating multiple stakeholders and ensuring deliverables, schedules, and technical requirements aligned within timeframe. Addressed through regular communication, follow-ups, clear delegation, and a technical test run.</t>
        </is>
      </c>
      <c r="J5" s="11" t="inlineStr"/>
      <c r="K5" s="11" t="inlineStr"/>
      <c r="L5" s="11" t="inlineStr">
        <is>
          <t>1. Increase reminder touch points. 2. Create stronger pre-event engagement. 3. Follow up with registrants.</t>
        </is>
      </c>
      <c r="M5" s="11" t="inlineStr"/>
      <c r="N5" s="11" t="n">
        <v>4</v>
      </c>
      <c r="O5" s="11" t="inlineStr">
        <is>
          <t>None</t>
        </is>
      </c>
      <c r="P5" s="11" t="inlineStr">
        <is>
          <t>None</t>
        </is>
      </c>
      <c r="Q5" s="11" t="inlineStr">
        <is>
          <t>Document positive feedback on challenge quality, judging process, and experience. Capture finalist success stories. Document strong projects and potential partnerships.</t>
        </is>
      </c>
      <c r="R5" s="11" t="inlineStr">
        <is>
          <t>Stop: Treating registration numbers as main engagement indicator. Continue: Creating opportunities for participants to showcase ideas and connect with stakeholders.</t>
        </is>
      </c>
      <c r="S5" s="11" t="inlineStr">
        <is>
          <t>Aside from low attendance and time management, overall it was a great webinar.</t>
        </is>
      </c>
    </row>
    <row r="6" ht="100" customHeight="1">
      <c r="A6" s="26" t="n">
        <v>4</v>
      </c>
      <c r="B6" s="27" t="inlineStr">
        <is>
          <t>2026/09/23 11:04:53 AM</t>
        </is>
      </c>
      <c r="C6" s="27" t="inlineStr">
        <is>
          <t>ifeanyi.eze@tobamsgroup.com</t>
        </is>
      </c>
      <c r="D6" s="27" t="inlineStr">
        <is>
          <t>Ifeanyichukwu Eze</t>
        </is>
      </c>
      <c r="E6" s="27" t="inlineStr">
        <is>
          <t>Business Analyst</t>
        </is>
      </c>
      <c r="F6" s="27" t="n">
        <v>4</v>
      </c>
      <c r="G6" s="27" t="inlineStr">
        <is>
          <t>The pitch session</t>
        </is>
      </c>
      <c r="H6" s="27" t="inlineStr">
        <is>
          <t>Planning ahead and following up on key players</t>
        </is>
      </c>
      <c r="I6" s="27" t="inlineStr">
        <is>
          <t>Our partner cutting the agreed funds for the event. Addressed by adjusting plan to accommodate the budget.</t>
        </is>
      </c>
      <c r="J6" s="27" t="inlineStr"/>
      <c r="K6" s="27" t="inlineStr"/>
      <c r="L6" s="27" t="inlineStr">
        <is>
          <t>Plan ahead. Reach out to at least 300% of target number. Have a back up.</t>
        </is>
      </c>
      <c r="M6" s="27" t="inlineStr"/>
      <c r="N6" s="27" t="n">
        <v>5</v>
      </c>
      <c r="O6" s="27" t="inlineStr">
        <is>
          <t>None</t>
        </is>
      </c>
      <c r="P6" s="27" t="inlineStr">
        <is>
          <t>None</t>
        </is>
      </c>
      <c r="Q6" s="27" t="inlineStr">
        <is>
          <t>None</t>
        </is>
      </c>
      <c r="R6" s="27" t="inlineStr">
        <is>
          <t>Continue planning ahead for events and programs like this.</t>
        </is>
      </c>
      <c r="S6" s="27" t="inlineStr"/>
    </row>
    <row r="7" ht="100" customHeight="1">
      <c r="A7" s="25" t="n">
        <v>5</v>
      </c>
      <c r="B7" s="11" t="inlineStr">
        <is>
          <t>2026/09/23 1:12:21 PM</t>
        </is>
      </c>
      <c r="C7" s="11" t="inlineStr">
        <is>
          <t>emmanuella.osawe@tobamsgroup.com</t>
        </is>
      </c>
      <c r="D7" s="11" t="inlineStr">
        <is>
          <t>Emmanuella Osawe</t>
        </is>
      </c>
      <c r="E7" s="11" t="inlineStr">
        <is>
          <t>Head of Product &amp; LX</t>
        </is>
      </c>
      <c r="F7" s="11" t="n">
        <v>5</v>
      </c>
      <c r="G7" s="11" t="inlineStr">
        <is>
          <t>The session from Dr Ona and the Panelists were really insightful</t>
        </is>
      </c>
      <c r="H7" s="11" t="inlineStr">
        <is>
          <t>Coordination within the Tobams team, competition scoring process, communication with stakeholders, voting system etc</t>
        </is>
      </c>
      <c r="I7" s="11" t="inlineStr">
        <is>
          <t>-</t>
        </is>
      </c>
      <c r="J7" s="11" t="inlineStr"/>
      <c r="K7" s="11" t="inlineStr"/>
      <c r="L7" s="11" t="inlineStr">
        <is>
          <t>Creating a checklist at the beginning as we did for this project (that made the workflow very straightforward).</t>
        </is>
      </c>
      <c r="M7" s="11" t="inlineStr"/>
      <c r="N7" s="11" t="n">
        <v>5</v>
      </c>
      <c r="O7" s="11" t="inlineStr">
        <is>
          <t>Deadline changes and communication with the project team.</t>
        </is>
      </c>
      <c r="P7" s="11" t="inlineStr">
        <is>
          <t>Allocate enough time to the entire process, plan for deadline extensions from the beginning. Build a system for assessing submissions. Set application targets. Build a full competition assessment platform.</t>
        </is>
      </c>
      <c r="Q7" s="11" t="inlineStr">
        <is>
          <t>?</t>
        </is>
      </c>
      <c r="R7" s="11" t="inlineStr">
        <is>
          <t>-</t>
        </is>
      </c>
      <c r="S7" s="11" t="inlineStr"/>
    </row>
  </sheetData>
  <autoFilter ref="A2:S7"/>
  <mergeCells count="1">
    <mergeCell ref="A1:S1"/>
  </mergeCells>
  <pageMargins left="0.75" right="0.75" top="1" bottom="1" header="0.5" footer="0.5"/>
</worksheet>
</file>

<file path=xl/worksheets/sheet4.xml><?xml version="1.0" encoding="utf-8"?>
<worksheet xmlns="http://schemas.openxmlformats.org/spreadsheetml/2006/main">
  <sheetPr>
    <tabColor rgb="002A9D8F"/>
    <outlinePr summaryBelow="1" summaryRight="1"/>
    <pageSetUpPr/>
  </sheetPr>
  <dimension ref="A1:H49"/>
  <sheetViews>
    <sheetView showGridLines="0" workbookViewId="0">
      <selection activeCell="A1" sqref="A1"/>
    </sheetView>
  </sheetViews>
  <sheetFormatPr baseColWidth="8" defaultRowHeight="15"/>
  <cols>
    <col width="22" customWidth="1" min="1" max="1"/>
    <col width="14" customWidth="1" min="2" max="2"/>
    <col width="42" customWidth="1" min="3" max="3"/>
    <col width="48" customWidth="1" min="4" max="4"/>
    <col width="16" customWidth="1" min="5" max="5"/>
    <col width="16" customWidth="1" min="6" max="6"/>
    <col width="16" customWidth="1" min="7" max="7"/>
    <col width="16" customWidth="1" min="8" max="8"/>
    <col width="16" customWidth="1" min="9" max="9"/>
  </cols>
  <sheetData>
    <row r="1" ht="36" customHeight="1">
      <c r="A1" s="31" t="inlineStr">
        <is>
          <t>Participant Feedback Analysis</t>
        </is>
      </c>
      <c r="B1" s="23" t="n"/>
      <c r="C1" s="23" t="n"/>
      <c r="D1" s="23" t="n"/>
      <c r="E1" s="23" t="n"/>
      <c r="F1" s="23" t="n"/>
      <c r="G1" s="23" t="n"/>
      <c r="H1" s="23" t="n"/>
    </row>
    <row r="3" ht="28" customHeight="1">
      <c r="A3" s="8" t="inlineStr">
        <is>
          <t>SUMMARY STATISTICS</t>
        </is>
      </c>
    </row>
    <row r="4">
      <c r="A4" s="9" t="inlineStr">
        <is>
          <t>Total Responses</t>
        </is>
      </c>
      <c r="B4" s="32">
        <f>COUNTA('Participant Responses'!C3:C100)</f>
        <v/>
      </c>
      <c r="C4" s="10" t="n"/>
    </row>
    <row r="5">
      <c r="A5" s="12" t="inlineStr">
        <is>
          <t>Avg Content Relevance</t>
        </is>
      </c>
      <c r="B5" s="33">
        <f>ROUND(AVERAGE('Participant Responses'!D3:D17),1)</f>
        <v/>
      </c>
      <c r="C5" s="13" t="n"/>
    </row>
    <row r="6">
      <c r="A6" s="9" t="inlineStr">
        <is>
          <t>Speaker: Excellent or Very Good</t>
        </is>
      </c>
      <c r="B6" s="32">
        <f>COUNTIF('Participant Responses'!E3:E17,"Excellent")+COUNTIF('Participant Responses'!E3:E17,"Very Good")</f>
        <v/>
      </c>
      <c r="C6" s="34">
        <f>B6/B4</f>
        <v/>
      </c>
    </row>
    <row r="7">
      <c r="A7" s="12" t="inlineStr">
        <is>
          <t>Overall: Excellent or Very Good</t>
        </is>
      </c>
      <c r="B7" s="33">
        <f>COUNTIF('Participant Responses'!H3:H17,"Excellent")+COUNTIF('Participant Responses'!H3:H17,"Very Good")</f>
        <v/>
      </c>
      <c r="C7" s="35">
        <f>B7/B4</f>
        <v/>
      </c>
    </row>
    <row r="8">
      <c r="A8" s="9" t="inlineStr">
        <is>
          <t>Improved AI Understanding</t>
        </is>
      </c>
      <c r="B8" s="32">
        <f>COUNTIF('Participant Responses'!G3:G17,"Yes")</f>
        <v/>
      </c>
      <c r="C8" s="34">
        <f>B8/B4</f>
        <v/>
      </c>
    </row>
    <row r="10" ht="28" customHeight="1">
      <c r="A10" s="8" t="inlineStr">
        <is>
          <t>CONTENT RELEVANCE DISTRIBUTION</t>
        </is>
      </c>
    </row>
    <row r="11">
      <c r="A11" s="15" t="inlineStr">
        <is>
          <t>Rating</t>
        </is>
      </c>
      <c r="B11" s="15" t="inlineStr">
        <is>
          <t>Count</t>
        </is>
      </c>
      <c r="C11" s="15" t="inlineStr">
        <is>
          <t>Percentage</t>
        </is>
      </c>
    </row>
    <row r="12">
      <c r="A12" s="36" t="inlineStr">
        <is>
          <t>5 - Excellent</t>
        </is>
      </c>
      <c r="B12" s="37">
        <f>COUNTIF('Participant Responses'!D3:D17,5)</f>
        <v/>
      </c>
      <c r="C12" s="38">
        <f>IF(B12=0,"",B12/COUNTA('Participant Responses'!C3:C100))</f>
        <v/>
      </c>
    </row>
    <row r="13">
      <c r="A13" s="39" t="inlineStr">
        <is>
          <t>4 - Good</t>
        </is>
      </c>
      <c r="B13" s="40">
        <f>COUNTIF('Participant Responses'!D3:D17,4)</f>
        <v/>
      </c>
      <c r="C13" s="41">
        <f>IF(B13=0,"",B13/COUNTA('Participant Responses'!C3:C100))</f>
        <v/>
      </c>
    </row>
    <row r="14">
      <c r="A14" s="36" t="inlineStr">
        <is>
          <t>3 - Average</t>
        </is>
      </c>
      <c r="B14" s="37">
        <f>COUNTIF('Participant Responses'!D3:D17,3)</f>
        <v/>
      </c>
      <c r="C14" s="38">
        <f>IF(B14=0,"",B14/COUNTA('Participant Responses'!C3:C100))</f>
        <v/>
      </c>
    </row>
    <row r="15">
      <c r="A15" s="39" t="inlineStr">
        <is>
          <t>2 - Low</t>
        </is>
      </c>
      <c r="B15" s="40">
        <f>COUNTIF('Participant Responses'!D3:D17,2)</f>
        <v/>
      </c>
      <c r="C15" s="41">
        <f>IF(B15=0,"",B15/COUNTA('Participant Responses'!C3:C100))</f>
        <v/>
      </c>
    </row>
    <row r="16">
      <c r="A16" s="36" t="inlineStr">
        <is>
          <t>1 - Not relevant</t>
        </is>
      </c>
      <c r="B16" s="37">
        <f>COUNTIF('Participant Responses'!D3:D17,1)</f>
        <v/>
      </c>
      <c r="C16" s="38">
        <f>IF(B16=0,"",B16/COUNTA('Participant Responses'!C3:C100))</f>
        <v/>
      </c>
    </row>
    <row r="17">
      <c r="A17" s="42" t="inlineStr">
        <is>
          <t>Total</t>
        </is>
      </c>
      <c r="B17" s="43">
        <f>SUM(B12:B16)</f>
        <v/>
      </c>
      <c r="C17" s="44">
        <f>SUM(C12:C16)</f>
        <v/>
      </c>
    </row>
    <row r="19" ht="28" customHeight="1">
      <c r="A19" s="8" t="inlineStr">
        <is>
          <t>SPEAKER &amp; PRESENTATION RATINGS</t>
        </is>
      </c>
    </row>
    <row r="20">
      <c r="A20" s="15" t="inlineStr">
        <is>
          <t>Rating</t>
        </is>
      </c>
      <c r="B20" s="15" t="inlineStr">
        <is>
          <t>Count</t>
        </is>
      </c>
      <c r="C20" s="15" t="inlineStr">
        <is>
          <t>Percentage</t>
        </is>
      </c>
    </row>
    <row r="21">
      <c r="A21" s="36" t="inlineStr">
        <is>
          <t>Excellent</t>
        </is>
      </c>
      <c r="B21" s="37">
        <f>COUNTIF('Participant Responses'!E3:E17,"Excellent")</f>
        <v/>
      </c>
      <c r="C21" s="38">
        <f>IF(B21=0,"",B21/COUNTA('Participant Responses'!C3:C100))</f>
        <v/>
      </c>
    </row>
    <row r="22">
      <c r="A22" s="39" t="inlineStr">
        <is>
          <t>Very Good</t>
        </is>
      </c>
      <c r="B22" s="40">
        <f>COUNTIF('Participant Responses'!E3:E17,"Very Good")</f>
        <v/>
      </c>
      <c r="C22" s="41">
        <f>IF(B22=0,"",B22/COUNTA('Participant Responses'!C3:C100))</f>
        <v/>
      </c>
    </row>
    <row r="23">
      <c r="A23" s="36" t="inlineStr">
        <is>
          <t>Good</t>
        </is>
      </c>
      <c r="B23" s="37">
        <f>COUNTIF('Participant Responses'!E3:E17,"Good")</f>
        <v/>
      </c>
      <c r="C23" s="38">
        <f>IF(B23=0,"",B23/COUNTA('Participant Responses'!C3:C100))</f>
        <v/>
      </c>
    </row>
    <row r="24">
      <c r="A24" s="39" t="inlineStr">
        <is>
          <t>Poor</t>
        </is>
      </c>
      <c r="B24" s="40">
        <f>COUNTIF('Participant Responses'!E3:E17,"Poor")</f>
        <v/>
      </c>
      <c r="C24" s="41">
        <f>IF(B24=0,"",B24/COUNTA('Participant Responses'!C3:C100))</f>
        <v/>
      </c>
    </row>
    <row r="25">
      <c r="A25" s="42" t="inlineStr">
        <is>
          <t>Total</t>
        </is>
      </c>
      <c r="B25" s="43">
        <f>SUM(B21:B24)</f>
        <v/>
      </c>
      <c r="C25" s="44">
        <f>SUM(C21:C24)</f>
        <v/>
      </c>
    </row>
    <row r="27" ht="28" customHeight="1">
      <c r="A27" s="8" t="inlineStr">
        <is>
          <t>OVERALL EXPERIENCE RATINGS</t>
        </is>
      </c>
    </row>
    <row r="28">
      <c r="A28" s="15" t="inlineStr">
        <is>
          <t>Rating</t>
        </is>
      </c>
      <c r="B28" s="15" t="inlineStr">
        <is>
          <t>Count</t>
        </is>
      </c>
      <c r="C28" s="15" t="inlineStr">
        <is>
          <t>Percentage</t>
        </is>
      </c>
    </row>
    <row r="29">
      <c r="A29" s="36" t="inlineStr">
        <is>
          <t>Excellent</t>
        </is>
      </c>
      <c r="B29" s="37">
        <f>COUNTIF('Participant Responses'!H3:H17,"Excellent")</f>
        <v/>
      </c>
      <c r="C29" s="38">
        <f>IF(B29=0,"",B29/COUNTA('Participant Responses'!C3:C100))</f>
        <v/>
      </c>
    </row>
    <row r="30">
      <c r="A30" s="39" t="inlineStr">
        <is>
          <t>Very Good</t>
        </is>
      </c>
      <c r="B30" s="40">
        <f>COUNTIF('Participant Responses'!H3:H17,"Very Good")</f>
        <v/>
      </c>
      <c r="C30" s="41">
        <f>IF(B30=0,"",B30/COUNTA('Participant Responses'!C3:C100))</f>
        <v/>
      </c>
    </row>
    <row r="31">
      <c r="A31" s="36" t="inlineStr">
        <is>
          <t>Good</t>
        </is>
      </c>
      <c r="B31" s="37">
        <f>COUNTIF('Participant Responses'!H3:H17,"Good")</f>
        <v/>
      </c>
      <c r="C31" s="38">
        <f>IF(B31=0,"",B31/COUNTA('Participant Responses'!C3:C100))</f>
        <v/>
      </c>
    </row>
    <row r="32">
      <c r="A32" s="39" t="inlineStr">
        <is>
          <t>Poor</t>
        </is>
      </c>
      <c r="B32" s="40">
        <f>COUNTIF('Participant Responses'!H3:H17,"Poor")</f>
        <v/>
      </c>
      <c r="C32" s="41">
        <f>IF(B32=0,"",B32/COUNTA('Participant Responses'!C3:C100))</f>
        <v/>
      </c>
    </row>
    <row r="33">
      <c r="A33" s="42" t="inlineStr">
        <is>
          <t>Total</t>
        </is>
      </c>
      <c r="B33" s="43">
        <f>SUM(B29:B32)</f>
        <v/>
      </c>
      <c r="C33" s="44">
        <f>SUM(C29:C32)</f>
        <v/>
      </c>
    </row>
    <row r="35" ht="28" customHeight="1">
      <c r="A35" s="8" t="inlineStr">
        <is>
          <t>THEME ANALYSIS — MOST VALUABLE PART (with respondent usernames)</t>
        </is>
      </c>
    </row>
    <row r="36">
      <c r="A36" s="15" t="inlineStr">
        <is>
          <t>Theme</t>
        </is>
      </c>
      <c r="B36" s="15" t="inlineStr">
        <is>
          <t>Frequency</t>
        </is>
      </c>
      <c r="C36" s="15" t="inlineStr">
        <is>
          <t>Respondent Usernames</t>
        </is>
      </c>
      <c r="D36" s="15" t="inlineStr">
        <is>
          <t>Sample Quotes</t>
        </is>
      </c>
    </row>
    <row r="37" ht="52" customHeight="1">
      <c r="A37" s="9" t="inlineStr">
        <is>
          <t>AI &amp; Future of Work Education</t>
        </is>
      </c>
      <c r="B37" s="45" t="n">
        <v>5</v>
      </c>
      <c r="C37" s="46" t="inlineStr">
        <is>
          <t>nauwassalehmusatafa@gmail.com, ibeamaluchijioke@gmail.com, peteramadic@gmail.com, msahal347@gmail.com, kolawoleoyelusi@gmail.com</t>
        </is>
      </c>
      <c r="D37" s="47" t="inlineStr">
        <is>
          <t>"Learning how to use AI to improve our presentation and pitch", "How the speakers touched every area AI needs to come in", "AI, the future of work, careers or emerging opportunities"</t>
        </is>
      </c>
    </row>
    <row r="38" ht="52" customHeight="1">
      <c r="A38" s="12" t="inlineStr">
        <is>
          <t>Pitch Sessions</t>
        </is>
      </c>
      <c r="B38" s="48" t="n">
        <v>3</v>
      </c>
      <c r="C38" s="49" t="inlineStr">
        <is>
          <t>ezeifeanyij@gmail.com, ifeanyi.eze@tobamsgroup.com (team), emmanuella.osawe@tobamsgroup.com (team)</t>
        </is>
      </c>
      <c r="D38" s="50" t="inlineStr">
        <is>
          <t>"Pitch Session", "The pitch session"</t>
        </is>
      </c>
    </row>
    <row r="39" ht="52" customHeight="1">
      <c r="A39" s="9" t="inlineStr">
        <is>
          <t>Practical AI Use Cases</t>
        </is>
      </c>
      <c r="B39" s="45" t="n">
        <v>3</v>
      </c>
      <c r="C39" s="46" t="inlineStr">
        <is>
          <t>dillonofili667@gmail.com, kolawoleoyelusi@gmail.com, ibeamaluchijioke@gmail.com</t>
        </is>
      </c>
      <c r="D39" s="47" t="inlineStr">
        <is>
          <t>"Exploring use cases for AI", "The ai part", "It educated me more on AI"</t>
        </is>
      </c>
    </row>
    <row r="40" ht="52" customHeight="1">
      <c r="A40" s="12" t="inlineStr">
        <is>
          <t>Speaker Quality</t>
        </is>
      </c>
      <c r="B40" s="48" t="n">
        <v>2</v>
      </c>
      <c r="C40" s="49" t="inlineStr">
        <is>
          <t>peteramadic@gmail.com, udo.sifon18@gmail.com</t>
        </is>
      </c>
      <c r="D40" s="50" t="inlineStr">
        <is>
          <t>"How the speakers touched every area", "Everything the speakers said were in line with what I'm doing"</t>
        </is>
      </c>
    </row>
    <row r="41" ht="52" customHeight="1">
      <c r="A41" s="9" t="inlineStr">
        <is>
          <t>General Learning</t>
        </is>
      </c>
      <c r="B41" s="45" t="n">
        <v>2</v>
      </c>
      <c r="C41" s="46" t="inlineStr">
        <is>
          <t>davidoluwaseun94@gmail.com, chimanddy@gmail.com</t>
        </is>
      </c>
      <c r="D41" s="47" t="inlineStr">
        <is>
          <t>"Learning new things", "It helped me in so many ways"</t>
        </is>
      </c>
    </row>
    <row r="43" ht="28" customHeight="1">
      <c r="A43" s="8" t="inlineStr">
        <is>
          <t>SUGGESTED IMPROVEMENTS (with respondent usernames)</t>
        </is>
      </c>
    </row>
    <row r="44">
      <c r="A44" s="15" t="inlineStr">
        <is>
          <t>Suggestion</t>
        </is>
      </c>
      <c r="B44" s="15" t="inlineStr">
        <is>
          <t>Frequency</t>
        </is>
      </c>
      <c r="C44" s="15" t="inlineStr">
        <is>
          <t>Respondent Usernames</t>
        </is>
      </c>
      <c r="D44" s="15" t="inlineStr">
        <is>
          <t>Details</t>
        </is>
      </c>
    </row>
    <row r="45" ht="48" customHeight="1">
      <c r="A45" s="9" t="inlineStr">
        <is>
          <t>Better Timing / Scheduling</t>
        </is>
      </c>
      <c r="B45" s="45" t="n">
        <v>3</v>
      </c>
      <c r="C45" s="46" t="inlineStr">
        <is>
          <t>davidoluwaseun94@gmail.com, ezeifeanyij@gmail.com, (implied by multiple)</t>
        </is>
      </c>
      <c r="D45" s="47" t="inlineStr">
        <is>
          <t>Multiple participants cited 'timing' as the primary improvement area.</t>
        </is>
      </c>
    </row>
    <row r="46" ht="48" customHeight="1">
      <c r="A46" s="12" t="inlineStr">
        <is>
          <t>Hands-on / Interactive Sessions</t>
        </is>
      </c>
      <c r="B46" s="48" t="n">
        <v>2</v>
      </c>
      <c r="C46" s="49" t="inlineStr">
        <is>
          <t>nauwassalehmusatafa@gmail.com, dillonofili667@gmail.com</t>
        </is>
      </c>
      <c r="D46" s="50" t="inlineStr">
        <is>
          <t>"More practical, hands-on activities", "A workshop or live demonstration of practical AI usage"</t>
        </is>
      </c>
    </row>
    <row r="47" ht="48" customHeight="1">
      <c r="A47" s="9" t="inlineStr">
        <is>
          <t>Certificates &amp; Exposure</t>
        </is>
      </c>
      <c r="B47" s="45" t="n">
        <v>2</v>
      </c>
      <c r="C47" s="46" t="inlineStr">
        <is>
          <t>9creditt@gmail.com, udo.sifon18@gmail.com</t>
        </is>
      </c>
      <c r="D47" s="47" t="inlineStr">
        <is>
          <t>"Attaching the certificate of participation", seeking exposure and networking opportunities</t>
        </is>
      </c>
    </row>
    <row r="48" ht="48" customHeight="1">
      <c r="A48" s="12" t="inlineStr">
        <is>
          <t>More Q&amp;A Time</t>
        </is>
      </c>
      <c r="B48" s="48" t="n">
        <v>1</v>
      </c>
      <c r="C48" s="49" t="inlineStr">
        <is>
          <t>nauwassalehmusatafa@gmail.com</t>
        </is>
      </c>
      <c r="D48" s="50" t="inlineStr">
        <is>
          <t>"Allow more time for questions and answers so participants can get clarification and learn from one another"</t>
        </is>
      </c>
    </row>
    <row r="49" ht="48" customHeight="1">
      <c r="A49" s="9" t="inlineStr">
        <is>
          <t>Satisfied — No Changes</t>
        </is>
      </c>
      <c r="B49" s="45" t="n">
        <v>3</v>
      </c>
      <c r="C49" s="46" t="inlineStr">
        <is>
          <t>ibeamaluchijioke@gmail.com, abdulazeezbello5882@gmail.com, nancyikupinyiawajifrank@gmail.com</t>
        </is>
      </c>
      <c r="D49" s="47" t="inlineStr">
        <is>
          <t>"For me everything is perfect", "Its great", "You did well"</t>
        </is>
      </c>
    </row>
  </sheetData>
  <mergeCells count="7">
    <mergeCell ref="A3:H3"/>
    <mergeCell ref="A35:H35"/>
    <mergeCell ref="A43:H43"/>
    <mergeCell ref="A10:H10"/>
    <mergeCell ref="A19:H19"/>
    <mergeCell ref="A1:H1"/>
    <mergeCell ref="A27:H27"/>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E9A820"/>
    <outlinePr summaryBelow="1" summaryRight="1"/>
    <pageSetUpPr/>
  </sheetPr>
  <dimension ref="A1:H33"/>
  <sheetViews>
    <sheetView showGridLines="0" workbookViewId="0">
      <selection activeCell="A1" sqref="A1"/>
    </sheetView>
  </sheetViews>
  <sheetFormatPr baseColWidth="8" defaultRowHeight="15"/>
  <cols>
    <col width="28" customWidth="1" min="1" max="1"/>
    <col width="30" customWidth="1" min="2" max="2"/>
    <col width="18" customWidth="1" min="3" max="3"/>
    <col width="24" customWidth="1" min="4" max="4"/>
    <col width="42" customWidth="1" min="5" max="5"/>
    <col width="16" customWidth="1" min="6" max="6"/>
    <col width="16" customWidth="1" min="7" max="7"/>
    <col width="16" customWidth="1" min="8" max="8"/>
    <col width="16" customWidth="1" min="9" max="9"/>
  </cols>
  <sheetData>
    <row r="1" ht="36" customHeight="1">
      <c r="A1" s="51" t="inlineStr">
        <is>
          <t>Internal Team Retrospective Analysis</t>
        </is>
      </c>
      <c r="B1" s="29" t="n"/>
      <c r="C1" s="29" t="n"/>
      <c r="D1" s="29" t="n"/>
      <c r="E1" s="29" t="n"/>
      <c r="F1" s="29" t="n"/>
      <c r="G1" s="29" t="n"/>
      <c r="H1" s="29" t="n"/>
    </row>
    <row r="3" ht="28" customHeight="1">
      <c r="A3" s="8" t="inlineStr">
        <is>
          <t>TEAM MEMBER RATINGS</t>
        </is>
      </c>
    </row>
    <row r="4">
      <c r="A4" s="15" t="inlineStr">
        <is>
          <t>Username</t>
        </is>
      </c>
      <c r="B4" s="15" t="inlineStr">
        <is>
          <t>Name</t>
        </is>
      </c>
      <c r="C4" s="15" t="inlineStr">
        <is>
          <t>Role</t>
        </is>
      </c>
      <c r="D4" s="15" t="inlineStr">
        <is>
          <t>Participation (1-5)</t>
        </is>
      </c>
      <c r="E4" s="15" t="inlineStr">
        <is>
          <t>AI Challenge (1-5)</t>
        </is>
      </c>
    </row>
    <row r="5" ht="26" customHeight="1">
      <c r="A5" s="46">
        <f>'Team Responses'!C3</f>
        <v/>
      </c>
      <c r="B5" s="52">
        <f>'Team Responses'!D3</f>
        <v/>
      </c>
      <c r="C5" s="11">
        <f>'Team Responses'!E3</f>
        <v/>
      </c>
      <c r="D5" s="53">
        <f>'Team Responses'!F3</f>
        <v/>
      </c>
      <c r="E5" s="54">
        <f>'Team Responses'!N3</f>
        <v/>
      </c>
    </row>
    <row r="6" ht="26" customHeight="1">
      <c r="A6" s="49">
        <f>'Team Responses'!C4</f>
        <v/>
      </c>
      <c r="B6" s="55">
        <f>'Team Responses'!D4</f>
        <v/>
      </c>
      <c r="C6" s="14">
        <f>'Team Responses'!E4</f>
        <v/>
      </c>
      <c r="D6" s="56">
        <f>'Team Responses'!F4</f>
        <v/>
      </c>
      <c r="E6" s="57">
        <f>'Team Responses'!N4</f>
        <v/>
      </c>
    </row>
    <row r="7" ht="26" customHeight="1">
      <c r="A7" s="46">
        <f>'Team Responses'!C5</f>
        <v/>
      </c>
      <c r="B7" s="52">
        <f>'Team Responses'!D5</f>
        <v/>
      </c>
      <c r="C7" s="11">
        <f>'Team Responses'!E5</f>
        <v/>
      </c>
      <c r="D7" s="53">
        <f>'Team Responses'!F5</f>
        <v/>
      </c>
      <c r="E7" s="54">
        <f>'Team Responses'!N5</f>
        <v/>
      </c>
    </row>
    <row r="8" ht="26" customHeight="1">
      <c r="A8" s="49">
        <f>'Team Responses'!C6</f>
        <v/>
      </c>
      <c r="B8" s="55">
        <f>'Team Responses'!D6</f>
        <v/>
      </c>
      <c r="C8" s="14">
        <f>'Team Responses'!E6</f>
        <v/>
      </c>
      <c r="D8" s="56">
        <f>'Team Responses'!F6</f>
        <v/>
      </c>
      <c r="E8" s="57">
        <f>'Team Responses'!N6</f>
        <v/>
      </c>
    </row>
    <row r="9" ht="26" customHeight="1">
      <c r="A9" s="46">
        <f>'Team Responses'!C7</f>
        <v/>
      </c>
      <c r="B9" s="52">
        <f>'Team Responses'!D7</f>
        <v/>
      </c>
      <c r="C9" s="11">
        <f>'Team Responses'!E7</f>
        <v/>
      </c>
      <c r="D9" s="53">
        <f>'Team Responses'!F7</f>
        <v/>
      </c>
      <c r="E9" s="54">
        <f>'Team Responses'!N7</f>
        <v/>
      </c>
    </row>
    <row r="10" ht="28" customHeight="1">
      <c r="A10" s="58" t="inlineStr"/>
      <c r="B10" s="58" t="inlineStr"/>
      <c r="C10" s="59" t="inlineStr">
        <is>
          <t>AVERAGE</t>
        </is>
      </c>
      <c r="D10" s="60">
        <f>ROUND(AVERAGE(D5:D9),1)</f>
        <v/>
      </c>
      <c r="E10" s="60">
        <f>ROUND(AVERAGE(E5:E9),1)</f>
        <v/>
      </c>
    </row>
    <row r="12" ht="28" customHeight="1">
      <c r="A12" s="8" t="inlineStr">
        <is>
          <t>CHALLENGES ENCOUNTERED (with respondent attribution)</t>
        </is>
      </c>
    </row>
    <row r="13">
      <c r="A13" s="15" t="inlineStr">
        <is>
          <t>Challenge</t>
        </is>
      </c>
      <c r="B13" s="15" t="inlineStr">
        <is>
          <t>Severity</t>
        </is>
      </c>
      <c r="C13" s="15" t="inlineStr">
        <is>
          <t>Reported By (Username)</t>
        </is>
      </c>
      <c r="D13" s="15" t="inlineStr">
        <is>
          <t>Cited By (Name)</t>
        </is>
      </c>
      <c r="E13" s="15" t="inlineStr">
        <is>
          <t>How Addressed</t>
        </is>
      </c>
    </row>
    <row r="14" ht="52" customHeight="1">
      <c r="A14" s="9" t="inlineStr">
        <is>
          <t>Low attendance vs registrations</t>
        </is>
      </c>
      <c r="B14" s="61" t="inlineStr">
        <is>
          <t>High</t>
        </is>
      </c>
      <c r="C14" s="46" t="inlineStr">
        <is>
          <t>peace.aielumoh@tobamsgroup.com, maureenanthony95@gmail.com, ifeanyi.eze@tobamsgroup.com</t>
        </is>
      </c>
      <c r="D14" s="11" t="inlineStr">
        <is>
          <t>Peace, Maureen, Ifeanyi</t>
        </is>
      </c>
      <c r="E14" s="11" t="inlineStr">
        <is>
          <t>Phone outreach, partnership promotion, follow-up cadence. Plan for 20–25% conversion rate.</t>
        </is>
      </c>
    </row>
    <row r="15" ht="52" customHeight="1">
      <c r="A15" s="12" t="inlineStr">
        <is>
          <t>Partner budget reduction</t>
        </is>
      </c>
      <c r="B15" s="61" t="inlineStr">
        <is>
          <t>High</t>
        </is>
      </c>
      <c r="C15" s="49" t="inlineStr">
        <is>
          <t>ifeanyi.eze@tobamsgroup.com</t>
        </is>
      </c>
      <c r="D15" s="14" t="inlineStr">
        <is>
          <t>Ifeanyi</t>
        </is>
      </c>
      <c r="E15" s="14" t="inlineStr">
        <is>
          <t>Adjusted plan to accommodate reduced budget. Core deliverables preserved.</t>
        </is>
      </c>
    </row>
    <row r="16" ht="52" customHeight="1">
      <c r="A16" s="9" t="inlineStr">
        <is>
          <t>Stakeholder coordination</t>
        </is>
      </c>
      <c r="B16" s="62" t="inlineStr">
        <is>
          <t>Medium</t>
        </is>
      </c>
      <c r="C16" s="46" t="inlineStr">
        <is>
          <t>maureenanthony95@gmail.com</t>
        </is>
      </c>
      <c r="D16" s="11" t="inlineStr">
        <is>
          <t>Maureen</t>
        </is>
      </c>
      <c r="E16" s="11" t="inlineStr">
        <is>
          <t>Regular communication, clear delegation, follow-ups, and technical test runs.</t>
        </is>
      </c>
    </row>
    <row r="17" ht="52" customHeight="1">
      <c r="A17" s="12" t="inlineStr">
        <is>
          <t>Deadline / timeline changes</t>
        </is>
      </c>
      <c r="B17" s="62" t="inlineStr">
        <is>
          <t>Medium</t>
        </is>
      </c>
      <c r="C17" s="49" t="inlineStr">
        <is>
          <t>emmanuella.osawe@tobamsgroup.com</t>
        </is>
      </c>
      <c r="D17" s="14" t="inlineStr">
        <is>
          <t>Emmanuella</t>
        </is>
      </c>
      <c r="E17" s="14" t="inlineStr">
        <is>
          <t>Build extensions into initial plan. Allocate resources accordingly from the start.</t>
        </is>
      </c>
    </row>
    <row r="19" ht="28" customHeight="1">
      <c r="A19" s="8" t="inlineStr">
        <is>
          <t>TOP LESSONS LEARNED (with respondent attribution)</t>
        </is>
      </c>
    </row>
    <row r="20">
      <c r="A20" s="15" t="inlineStr">
        <is>
          <t>Lesson</t>
        </is>
      </c>
      <c r="B20" s="15" t="inlineStr">
        <is>
          <t>Times Cited</t>
        </is>
      </c>
      <c r="C20" s="15" t="inlineStr">
        <is>
          <t>Reported By (Username)</t>
        </is>
      </c>
      <c r="D20" s="15" t="inlineStr">
        <is>
          <t>Reported By (Name)</t>
        </is>
      </c>
      <c r="E20" s="15" t="inlineStr">
        <is>
          <t>Details</t>
        </is>
      </c>
    </row>
    <row r="21" ht="48" customHeight="1">
      <c r="A21" s="9" t="inlineStr">
        <is>
          <t>Plan &amp; communicate early</t>
        </is>
      </c>
      <c r="B21" s="45" t="inlineStr">
        <is>
          <t>5 of 5</t>
        </is>
      </c>
      <c r="C21" s="46" t="inlineStr">
        <is>
          <t>All team members</t>
        </is>
      </c>
      <c r="D21" s="11" t="inlineStr">
        <is>
          <t>Oluwatobi, Peace, Maureen, Ifeanyi, Emmanuella</t>
        </is>
      </c>
      <c r="E21" s="11" t="inlineStr">
        <is>
          <t>Begin promotion 2–3 weeks before. Send calendar invites immediately after registration.</t>
        </is>
      </c>
    </row>
    <row r="22" ht="48" customHeight="1">
      <c r="A22" s="12" t="inlineStr">
        <is>
          <t>Structured follow-up strategy</t>
        </is>
      </c>
      <c r="B22" s="48" t="inlineStr">
        <is>
          <t>3 of 5</t>
        </is>
      </c>
      <c r="C22" s="49" t="inlineStr">
        <is>
          <t>peace.aielumoh@tobamsgroup.com, maureenanthony95@gmail.com, oluwatobi.ibikunle@tobamsgroup.com</t>
        </is>
      </c>
      <c r="D22" s="14" t="inlineStr">
        <is>
          <t>Peace, Maureen, Oluwatobi</t>
        </is>
      </c>
      <c r="E22" s="14" t="inlineStr">
        <is>
          <t>Increase reminder frequency. Share phone outreach among team 3 days before event.</t>
        </is>
      </c>
    </row>
    <row r="23" ht="48" customHeight="1">
      <c r="A23" s="9" t="inlineStr">
        <is>
          <t>Use checklists &amp; process docs</t>
        </is>
      </c>
      <c r="B23" s="45" t="inlineStr">
        <is>
          <t>2 of 5</t>
        </is>
      </c>
      <c r="C23" s="46" t="inlineStr">
        <is>
          <t>emmanuella.osawe@tobamsgroup.com, oluwatobi.ibikunle@tobamsgroup.com</t>
        </is>
      </c>
      <c r="D23" s="11" t="inlineStr">
        <is>
          <t>Emmanuella, Oluwatobi</t>
        </is>
      </c>
      <c r="E23" s="11" t="inlineStr">
        <is>
          <t>Creating a checklist at project kickoff made workflow straightforward.</t>
        </is>
      </c>
    </row>
    <row r="24" ht="48" customHeight="1">
      <c r="A24" s="12" t="inlineStr">
        <is>
          <t>Prepare for technical issues</t>
        </is>
      </c>
      <c r="B24" s="48" t="inlineStr">
        <is>
          <t>2 of 5</t>
        </is>
      </c>
      <c r="C24" s="49" t="inlineStr">
        <is>
          <t>peace.aielumoh@tobamsgroup.com, maureenanthony95@gmail.com</t>
        </is>
      </c>
      <c r="D24" s="14" t="inlineStr">
        <is>
          <t>Peace, Maureen</t>
        </is>
      </c>
      <c r="E24" s="14" t="inlineStr">
        <is>
          <t>Test all platforms, links, audio, video beforehand. Have backup plans.</t>
        </is>
      </c>
    </row>
    <row r="25" ht="48" customHeight="1">
      <c r="A25" s="9" t="inlineStr">
        <is>
          <t>Target 3x desired attendance</t>
        </is>
      </c>
      <c r="B25" s="45" t="inlineStr">
        <is>
          <t>2 of 5</t>
        </is>
      </c>
      <c r="C25" s="46" t="inlineStr">
        <is>
          <t>ifeanyi.eze@tobamsgroup.com, peace.aielumoh@tobamsgroup.com</t>
        </is>
      </c>
      <c r="D25" s="11" t="inlineStr">
        <is>
          <t>Ifeanyi, Peace</t>
        </is>
      </c>
      <c r="E25" s="11" t="inlineStr">
        <is>
          <t>Reach out to 300% of desired count, given 20–25% conversion rate.</t>
        </is>
      </c>
    </row>
    <row r="26" ht="48" customHeight="1">
      <c r="A26" s="12" t="inlineStr">
        <is>
          <t>Respect partner brand guidelines</t>
        </is>
      </c>
      <c r="B26" s="48" t="inlineStr">
        <is>
          <t>1 of 5</t>
        </is>
      </c>
      <c r="C26" s="49" t="inlineStr">
        <is>
          <t>oluwatobi.ibikunle@tobamsgroup.com</t>
        </is>
      </c>
      <c r="D26" s="14" t="inlineStr">
        <is>
          <t>Oluwatobi</t>
        </is>
      </c>
      <c r="E26" s="14" t="inlineStr">
        <is>
          <t>Consider partner brand colors and guidelines early for co-branded materials.</t>
        </is>
      </c>
    </row>
    <row r="28" ht="28" customHeight="1">
      <c r="A28" s="8" t="inlineStr">
        <is>
          <t>START / STOP / CONTINUE</t>
        </is>
      </c>
    </row>
    <row r="29">
      <c r="A29" s="63" t="inlineStr">
        <is>
          <t>START</t>
        </is>
      </c>
      <c r="B29" s="64" t="n"/>
      <c r="C29" s="65" t="inlineStr">
        <is>
          <t>STOP</t>
        </is>
      </c>
      <c r="D29" s="66" t="n"/>
      <c r="E29" s="66" t="n"/>
      <c r="F29" s="67" t="inlineStr">
        <is>
          <t>CONTINUE</t>
        </is>
      </c>
      <c r="G29" s="68" t="n"/>
      <c r="H29" s="68" t="n"/>
    </row>
    <row r="30" ht="48" customHeight="1">
      <c r="A30" s="27" t="inlineStr">
        <is>
          <t>Earlier &amp; more diverse promotional activities (social, email, phone outreach)</t>
        </is>
      </c>
      <c r="B30" s="69" t="n"/>
      <c r="C30" s="27" t="inlineStr">
        <is>
          <t>Relying on registration numbers as a proxy for expected attendance</t>
        </is>
      </c>
      <c r="D30" s="69" t="n"/>
      <c r="E30" s="69" t="n"/>
      <c r="F30" s="27" t="inlineStr">
        <is>
          <t>Partnerships and applicant networks for promotion</t>
        </is>
      </c>
      <c r="G30" s="69" t="n"/>
      <c r="H30" s="69" t="n"/>
    </row>
    <row r="31" ht="48" customHeight="1">
      <c r="A31" s="27" t="inlineStr">
        <is>
          <t>Pre-event engagement webinars for challenge applicants during review period</t>
        </is>
      </c>
      <c r="B31" s="69" t="n"/>
      <c r="C31" s="27" t="inlineStr">
        <is>
          <t>Treating registration count as primary engagement metric</t>
        </is>
      </c>
      <c r="D31" s="69" t="n"/>
      <c r="E31" s="69" t="n"/>
      <c r="F31" s="27" t="inlineStr">
        <is>
          <t>Regular team meetings on deliverables for major events</t>
        </is>
      </c>
      <c r="G31" s="69" t="n"/>
      <c r="H31" s="69" t="n"/>
    </row>
    <row r="32" ht="48" customHeight="1">
      <c r="A32" s="27" t="inlineStr">
        <is>
          <t>Application targets — close applications when target is reached</t>
        </is>
      </c>
      <c r="B32" s="69" t="n"/>
      <c r="C32" s="27" t="inlineStr"/>
      <c r="D32" s="69" t="n"/>
      <c r="E32" s="69" t="n"/>
      <c r="F32" s="27" t="inlineStr">
        <is>
          <t>Creating opportunities for participants to showcase ideas and connect with stakeholders</t>
        </is>
      </c>
      <c r="G32" s="69" t="n"/>
      <c r="H32" s="69" t="n"/>
    </row>
    <row r="33" ht="48" customHeight="1">
      <c r="A33" s="27" t="inlineStr">
        <is>
          <t>Notifying non-qualifying applicants with alternative engagement paths</t>
        </is>
      </c>
      <c r="B33" s="69" t="n"/>
      <c r="C33" s="27" t="inlineStr"/>
      <c r="D33" s="69" t="n"/>
      <c r="E33" s="69" t="n"/>
      <c r="F33" s="27" t="inlineStr">
        <is>
          <t>Using structured checklists from project kickoff</t>
        </is>
      </c>
      <c r="G33" s="69" t="n"/>
      <c r="H33" s="69" t="n"/>
    </row>
  </sheetData>
  <mergeCells count="20">
    <mergeCell ref="A30:B30"/>
    <mergeCell ref="F33:H33"/>
    <mergeCell ref="C31:E31"/>
    <mergeCell ref="F32:H32"/>
    <mergeCell ref="A1:H1"/>
    <mergeCell ref="F31:H31"/>
    <mergeCell ref="F30:H30"/>
    <mergeCell ref="C32:E32"/>
    <mergeCell ref="A12:H12"/>
    <mergeCell ref="A3:H3"/>
    <mergeCell ref="A33:B33"/>
    <mergeCell ref="A32:B32"/>
    <mergeCell ref="C30:E30"/>
    <mergeCell ref="F29:H29"/>
    <mergeCell ref="C33:E33"/>
    <mergeCell ref="A29:B29"/>
    <mergeCell ref="A28:H28"/>
    <mergeCell ref="A19:H19"/>
    <mergeCell ref="C29:E29"/>
    <mergeCell ref="A31: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2026-09-27T19:47:16Z</dcterms:created>
  <dcterms:modified xsi:type="dcterms:W3CDTF">2026-09-27T19:47:16Z</dcterms:modified>
</cp:coreProperties>
</file>